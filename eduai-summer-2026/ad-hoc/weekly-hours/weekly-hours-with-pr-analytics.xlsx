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 Summary" sheetId="1" state="visible" r:id="rId1"/>
    <sheet xmlns:r="http://schemas.openxmlformats.org/officeDocument/2006/relationships" name="Analytics Detail" sheetId="2" state="visible" r:id="rId2"/>
    <sheet xmlns:r="http://schemas.openxmlformats.org/officeDocument/2006/relationships" name="PR Metrics Raw" sheetId="3" state="visible" r:id="rId3"/>
    <sheet xmlns:r="http://schemas.openxmlformats.org/officeDocument/2006/relationships" name="Manual Review" sheetId="4" state="visible" r:id="rId4"/>
    <sheet xmlns:r="http://schemas.openxmlformats.org/officeDocument/2006/relationships" name="Notes" sheetId="5" state="visible" r:id="rId5"/>
  </sheets>
  <definedNames>
    <definedName name="_xlnm._FilterDatabase" localSheetId="0" hidden="1">'Developer Summary'!$A$1:$M$23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nalyticsDetail" displayName="AnalyticsDetail" ref="A1:W59" headerRowCount="1">
  <autoFilter ref="A1:W59"/>
  <tableColumns count="23">
    <tableColumn id="1" name="week"/>
    <tableColumn id="2" name="github_username"/>
    <tableColumn id="3" name="implementation_hours"/>
    <tableColumn id="4" name="implementation_verification"/>
    <tableColumn id="5" name="issue_number"/>
    <tableColumn id="6" name="issue_link"/>
    <tableColumn id="7" name="issue_title"/>
    <tableColumn id="8" name="source_line"/>
    <tableColumn id="9" name="pr_number"/>
    <tableColumn id="10" name="pr_link"/>
    <tableColumn id="11" name="pr_title"/>
    <tableColumn id="12" name="pr_author"/>
    <tableColumn id="13" name="pr_state"/>
    <tableColumn id="14" name="pr_closing_issue_count"/>
    <tableColumn id="15" name="pr_closing_issues"/>
    <tableColumn id="16" name="time_to_first_review_hours"/>
    <tableColumn id="17" name="time_to_approval_hours"/>
    <tableColumn id="18" name="comments"/>
    <tableColumn id="19" name="changes_requested"/>
    <tableColumn id="20" name="pr_cycle_time_hours"/>
    <tableColumn id="21" name="metric_source"/>
    <tableColumn id="22" name="manual_review_flag"/>
    <tableColumn id="2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MetricsRaw" displayName="PRMetricsRaw" ref="A1:R29" headerRowCount="1">
  <autoFilter ref="A1:R29"/>
  <tableColumns count="18">
    <tableColumn id="1" name="pr_number"/>
    <tableColumn id="2" name="pr_link"/>
    <tableColumn id="3" name="pr_title"/>
    <tableColumn id="4" name="author"/>
    <tableColumn id="5" name="state"/>
    <tableColumn id="6" name="created_at"/>
    <tableColumn id="7" name="merged_at"/>
    <tableColumn id="8" name="closed_at"/>
    <tableColumn id="9" name="closing_issue_count"/>
    <tableColumn id="10" name="closing_issues"/>
    <tableColumn id="11" name="time_to_first_review_hours"/>
    <tableColumn id="12" name="time_to_approval_hours"/>
    <tableColumn id="13" name="comments"/>
    <tableColumn id="14" name="changes_requested"/>
    <tableColumn id="15" name="pr_cycle_time_hours"/>
    <tableColumn id="16" name="review_count"/>
    <tableColumn id="17" name="approval_count"/>
    <tableColumn id="18" name="metric_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nualReviewTable" displayName="ManualReviewTable" ref="A1:F33" headerRowCount="1">
  <autoFilter ref="A1:F33"/>
  <tableColumns count="6">
    <tableColumn id="1" name="item_type"/>
    <tableColumn id="2" name="identifier"/>
    <tableColumn id="3" name="github_username"/>
    <tableColumn id="4" name="week"/>
    <tableColumn id="5" name="flag"/>
    <tableColumn id="6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55" customWidth="1" min="3" max="3"/>
    <col width="55" customWidth="1" min="4" max="4"/>
    <col width="37" customWidth="1" min="5" max="5"/>
    <col width="55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55" customWidth="1" min="13" max="13"/>
  </cols>
  <sheetData>
    <row r="1">
      <c r="A1" s="1" t="inlineStr">
        <is>
          <t>GitHub username</t>
        </is>
      </c>
      <c r="B1" s="1" t="inlineStr">
        <is>
          <t>Week</t>
        </is>
      </c>
      <c r="C1" s="1" t="inlineStr">
        <is>
          <t>Verified implementation hours</t>
        </is>
      </c>
      <c r="D1" s="1" t="inlineStr">
        <is>
          <t>Unverified implementation hours</t>
        </is>
      </c>
      <c r="E1" s="1" t="inlineStr">
        <is>
          <t>Total reported implementation hours</t>
        </is>
      </c>
      <c r="F1" s="1" t="inlineStr">
        <is>
          <t>Rows with closing PR</t>
        </is>
      </c>
      <c r="G1" s="1" t="inlineStr">
        <is>
          <t>Rows without closing PR</t>
        </is>
      </c>
      <c r="H1" s="1" t="inlineStr">
        <is>
          <t>Manual review flags</t>
        </is>
      </c>
      <c r="I1" s="1" t="inlineStr">
        <is>
          <t>Avg time to first review (h)</t>
        </is>
      </c>
      <c r="J1" s="1" t="inlineStr">
        <is>
          <t>Avg time to approval (h)</t>
        </is>
      </c>
      <c r="K1" s="1" t="inlineStr">
        <is>
          <t>Avg PR cycle time (h)</t>
        </is>
      </c>
      <c r="L1" s="1" t="inlineStr">
        <is>
          <t>Total comments</t>
        </is>
      </c>
      <c r="M1" s="1" t="inlineStr">
        <is>
          <t>Total changes requested</t>
        </is>
      </c>
    </row>
    <row r="2">
      <c r="A2" s="2" t="inlineStr">
        <is>
          <t>ariqmuldi</t>
        </is>
      </c>
      <c r="B2" s="2" t="inlineStr">
        <is>
          <t>May 18-24, 2026</t>
        </is>
      </c>
      <c r="C2" s="3">
        <f>SUMIFS(AnalyticsDetail[implementation_hours],AnalyticsDetail[github_username],A2,AnalyticsDetail[week],B2,AnalyticsDetail[implementation_verification],"Verified*")</f>
        <v/>
      </c>
      <c r="D2" s="3">
        <f>SUMIFS(AnalyticsDetail[implementation_hours],AnalyticsDetail[github_username],A2,AnalyticsDetail[week],B2,AnalyticsDetail[implementation_verification],"Reported unverified*")</f>
        <v/>
      </c>
      <c r="E2" s="3">
        <f>C2+D2</f>
        <v/>
      </c>
      <c r="F2" s="3">
        <f>COUNTIFS(AnalyticsDetail[github_username],A2,AnalyticsDetail[week],B2,AnalyticsDetail[pr_number],"&gt;0")</f>
        <v/>
      </c>
      <c r="G2" s="3">
        <f>COUNTIFS(AnalyticsDetail[github_username],A2,AnalyticsDetail[week],B2,AnalyticsDetail[pr_number],"")</f>
        <v/>
      </c>
      <c r="H2" s="3">
        <f>COUNTIFS(AnalyticsDetail[github_username],A2,AnalyticsDetail[week],B2,AnalyticsDetail[manual_review_flag],"YES*")</f>
        <v/>
      </c>
      <c r="I2" s="3">
        <f>IFERROR(AVERAGEIFS(AnalyticsDetail[time_to_first_review_hours],AnalyticsDetail[github_username],A2,AnalyticsDetail[week],B2),"")</f>
        <v/>
      </c>
      <c r="J2" s="3">
        <f>IFERROR(AVERAGEIFS(AnalyticsDetail[time_to_approval_hours],AnalyticsDetail[github_username],A2,AnalyticsDetail[week],B2),"")</f>
        <v/>
      </c>
      <c r="K2" s="3">
        <f>IFERROR(AVERAGEIFS(AnalyticsDetail[pr_cycle_time_hours],AnalyticsDetail[github_username],A2,AnalyticsDetail[week],B2),"")</f>
        <v/>
      </c>
      <c r="L2" s="3">
        <f>SUMIFS(AnalyticsDetail[comments],AnalyticsDetail[github_username],A2,AnalyticsDetail[week],B2)</f>
        <v/>
      </c>
      <c r="M2" s="3">
        <f>SUMIFS(AnalyticsDetail[changes_requested],AnalyticsDetail[github_username],A2,AnalyticsDetail[week],B2)</f>
        <v/>
      </c>
    </row>
    <row r="3">
      <c r="A3" s="2" t="inlineStr">
        <is>
          <t>ariqmuldi</t>
        </is>
      </c>
      <c r="B3" s="2" t="inlineStr">
        <is>
          <t>May 25-31, 2026</t>
        </is>
      </c>
      <c r="C3" s="3">
        <f>SUMIFS(AnalyticsDetail[implementation_hours],AnalyticsDetail[github_username],A3,AnalyticsDetail[week],B3,AnalyticsDetail[implementation_verification],"Verified*")</f>
        <v/>
      </c>
      <c r="D3" s="3">
        <f>SUMIFS(AnalyticsDetail[implementation_hours],AnalyticsDetail[github_username],A3,AnalyticsDetail[week],B3,AnalyticsDetail[implementation_verification],"Reported unverified*")</f>
        <v/>
      </c>
      <c r="E3" s="3">
        <f>C3+D3</f>
        <v/>
      </c>
      <c r="F3" s="3">
        <f>COUNTIFS(AnalyticsDetail[github_username],A3,AnalyticsDetail[week],B3,AnalyticsDetail[pr_number],"&gt;0")</f>
        <v/>
      </c>
      <c r="G3" s="3">
        <f>COUNTIFS(AnalyticsDetail[github_username],A3,AnalyticsDetail[week],B3,AnalyticsDetail[pr_number],"")</f>
        <v/>
      </c>
      <c r="H3" s="3">
        <f>COUNTIFS(AnalyticsDetail[github_username],A3,AnalyticsDetail[week],B3,AnalyticsDetail[manual_review_flag],"YES*")</f>
        <v/>
      </c>
      <c r="I3" s="3">
        <f>IFERROR(AVERAGEIFS(AnalyticsDetail[time_to_first_review_hours],AnalyticsDetail[github_username],A3,AnalyticsDetail[week],B3),"")</f>
        <v/>
      </c>
      <c r="J3" s="3">
        <f>IFERROR(AVERAGEIFS(AnalyticsDetail[time_to_approval_hours],AnalyticsDetail[github_username],A3,AnalyticsDetail[week],B3),"")</f>
        <v/>
      </c>
      <c r="K3" s="3">
        <f>IFERROR(AVERAGEIFS(AnalyticsDetail[pr_cycle_time_hours],AnalyticsDetail[github_username],A3,AnalyticsDetail[week],B3),"")</f>
        <v/>
      </c>
      <c r="L3" s="3">
        <f>SUMIFS(AnalyticsDetail[comments],AnalyticsDetail[github_username],A3,AnalyticsDetail[week],B3)</f>
        <v/>
      </c>
      <c r="M3" s="3">
        <f>SUMIFS(AnalyticsDetail[changes_requested],AnalyticsDetail[github_username],A3,AnalyticsDetail[week],B3)</f>
        <v/>
      </c>
    </row>
    <row r="4">
      <c r="A4" s="2" t="inlineStr">
        <is>
          <t>Whiteknight07</t>
        </is>
      </c>
      <c r="B4" s="2" t="inlineStr">
        <is>
          <t>May 18-24, 2026</t>
        </is>
      </c>
      <c r="C4" s="3">
        <f>SUMIFS(AnalyticsDetail[implementation_hours],AnalyticsDetail[github_username],A4,AnalyticsDetail[week],B4,AnalyticsDetail[implementation_verification],"Verified*")</f>
        <v/>
      </c>
      <c r="D4" s="3">
        <f>SUMIFS(AnalyticsDetail[implementation_hours],AnalyticsDetail[github_username],A4,AnalyticsDetail[week],B4,AnalyticsDetail[implementation_verification],"Reported unverified*")</f>
        <v/>
      </c>
      <c r="E4" s="3">
        <f>C4+D4</f>
        <v/>
      </c>
      <c r="F4" s="3">
        <f>COUNTIFS(AnalyticsDetail[github_username],A4,AnalyticsDetail[week],B4,AnalyticsDetail[pr_number],"&gt;0")</f>
        <v/>
      </c>
      <c r="G4" s="3">
        <f>COUNTIFS(AnalyticsDetail[github_username],A4,AnalyticsDetail[week],B4,AnalyticsDetail[pr_number],"")</f>
        <v/>
      </c>
      <c r="H4" s="3">
        <f>COUNTIFS(AnalyticsDetail[github_username],A4,AnalyticsDetail[week],B4,AnalyticsDetail[manual_review_flag],"YES*")</f>
        <v/>
      </c>
      <c r="I4" s="3">
        <f>IFERROR(AVERAGEIFS(AnalyticsDetail[time_to_first_review_hours],AnalyticsDetail[github_username],A4,AnalyticsDetail[week],B4),"")</f>
        <v/>
      </c>
      <c r="J4" s="3">
        <f>IFERROR(AVERAGEIFS(AnalyticsDetail[time_to_approval_hours],AnalyticsDetail[github_username],A4,AnalyticsDetail[week],B4),"")</f>
        <v/>
      </c>
      <c r="K4" s="3">
        <f>IFERROR(AVERAGEIFS(AnalyticsDetail[pr_cycle_time_hours],AnalyticsDetail[github_username],A4,AnalyticsDetail[week],B4),"")</f>
        <v/>
      </c>
      <c r="L4" s="3">
        <f>SUMIFS(AnalyticsDetail[comments],AnalyticsDetail[github_username],A4,AnalyticsDetail[week],B4)</f>
        <v/>
      </c>
      <c r="M4" s="3">
        <f>SUMIFS(AnalyticsDetail[changes_requested],AnalyticsDetail[github_username],A4,AnalyticsDetail[week],B4)</f>
        <v/>
      </c>
    </row>
    <row r="5">
      <c r="A5" s="2" t="inlineStr">
        <is>
          <t>Whiteknight07</t>
        </is>
      </c>
      <c r="B5" s="2" t="inlineStr">
        <is>
          <t>May 25-31, 2026</t>
        </is>
      </c>
      <c r="C5" s="3">
        <f>SUMIFS(AnalyticsDetail[implementation_hours],AnalyticsDetail[github_username],A5,AnalyticsDetail[week],B5,AnalyticsDetail[implementation_verification],"Verified*")</f>
        <v/>
      </c>
      <c r="D5" s="3">
        <f>SUMIFS(AnalyticsDetail[implementation_hours],AnalyticsDetail[github_username],A5,AnalyticsDetail[week],B5,AnalyticsDetail[implementation_verification],"Reported unverified*")</f>
        <v/>
      </c>
      <c r="E5" s="3">
        <f>C5+D5</f>
        <v/>
      </c>
      <c r="F5" s="3">
        <f>COUNTIFS(AnalyticsDetail[github_username],A5,AnalyticsDetail[week],B5,AnalyticsDetail[pr_number],"&gt;0")</f>
        <v/>
      </c>
      <c r="G5" s="3">
        <f>COUNTIFS(AnalyticsDetail[github_username],A5,AnalyticsDetail[week],B5,AnalyticsDetail[pr_number],"")</f>
        <v/>
      </c>
      <c r="H5" s="3">
        <f>COUNTIFS(AnalyticsDetail[github_username],A5,AnalyticsDetail[week],B5,AnalyticsDetail[manual_review_flag],"YES*")</f>
        <v/>
      </c>
      <c r="I5" s="3">
        <f>IFERROR(AVERAGEIFS(AnalyticsDetail[time_to_first_review_hours],AnalyticsDetail[github_username],A5,AnalyticsDetail[week],B5),"")</f>
        <v/>
      </c>
      <c r="J5" s="3">
        <f>IFERROR(AVERAGEIFS(AnalyticsDetail[time_to_approval_hours],AnalyticsDetail[github_username],A5,AnalyticsDetail[week],B5),"")</f>
        <v/>
      </c>
      <c r="K5" s="3">
        <f>IFERROR(AVERAGEIFS(AnalyticsDetail[pr_cycle_time_hours],AnalyticsDetail[github_username],A5,AnalyticsDetail[week],B5),"")</f>
        <v/>
      </c>
      <c r="L5" s="3">
        <f>SUMIFS(AnalyticsDetail[comments],AnalyticsDetail[github_username],A5,AnalyticsDetail[week],B5)</f>
        <v/>
      </c>
      <c r="M5" s="3">
        <f>SUMIFS(AnalyticsDetail[changes_requested],AnalyticsDetail[github_username],A5,AnalyticsDetail[week],B5)</f>
        <v/>
      </c>
    </row>
    <row r="6">
      <c r="A6" s="2" t="inlineStr">
        <is>
          <t>evanbones</t>
        </is>
      </c>
      <c r="B6" s="2" t="inlineStr">
        <is>
          <t>May 18-24, 2026</t>
        </is>
      </c>
      <c r="C6" s="3">
        <f>SUMIFS(AnalyticsDetail[implementation_hours],AnalyticsDetail[github_username],A6,AnalyticsDetail[week],B6,AnalyticsDetail[implementation_verification],"Verified*")</f>
        <v/>
      </c>
      <c r="D6" s="3">
        <f>SUMIFS(AnalyticsDetail[implementation_hours],AnalyticsDetail[github_username],A6,AnalyticsDetail[week],B6,AnalyticsDetail[implementation_verification],"Reported unverified*")</f>
        <v/>
      </c>
      <c r="E6" s="3">
        <f>C6+D6</f>
        <v/>
      </c>
      <c r="F6" s="3">
        <f>COUNTIFS(AnalyticsDetail[github_username],A6,AnalyticsDetail[week],B6,AnalyticsDetail[pr_number],"&gt;0")</f>
        <v/>
      </c>
      <c r="G6" s="3">
        <f>COUNTIFS(AnalyticsDetail[github_username],A6,AnalyticsDetail[week],B6,AnalyticsDetail[pr_number],"")</f>
        <v/>
      </c>
      <c r="H6" s="3">
        <f>COUNTIFS(AnalyticsDetail[github_username],A6,AnalyticsDetail[week],B6,AnalyticsDetail[manual_review_flag],"YES*")</f>
        <v/>
      </c>
      <c r="I6" s="3">
        <f>IFERROR(AVERAGEIFS(AnalyticsDetail[time_to_first_review_hours],AnalyticsDetail[github_username],A6,AnalyticsDetail[week],B6),"")</f>
        <v/>
      </c>
      <c r="J6" s="3">
        <f>IFERROR(AVERAGEIFS(AnalyticsDetail[time_to_approval_hours],AnalyticsDetail[github_username],A6,AnalyticsDetail[week],B6),"")</f>
        <v/>
      </c>
      <c r="K6" s="3">
        <f>IFERROR(AVERAGEIFS(AnalyticsDetail[pr_cycle_time_hours],AnalyticsDetail[github_username],A6,AnalyticsDetail[week],B6),"")</f>
        <v/>
      </c>
      <c r="L6" s="3">
        <f>SUMIFS(AnalyticsDetail[comments],AnalyticsDetail[github_username],A6,AnalyticsDetail[week],B6)</f>
        <v/>
      </c>
      <c r="M6" s="3">
        <f>SUMIFS(AnalyticsDetail[changes_requested],AnalyticsDetail[github_username],A6,AnalyticsDetail[week],B6)</f>
        <v/>
      </c>
    </row>
    <row r="7">
      <c r="A7" s="2" t="inlineStr">
        <is>
          <t>evanbones</t>
        </is>
      </c>
      <c r="B7" s="2" t="inlineStr">
        <is>
          <t>May 25-31, 2026</t>
        </is>
      </c>
      <c r="C7" s="3">
        <f>SUMIFS(AnalyticsDetail[implementation_hours],AnalyticsDetail[github_username],A7,AnalyticsDetail[week],B7,AnalyticsDetail[implementation_verification],"Verified*")</f>
        <v/>
      </c>
      <c r="D7" s="3">
        <f>SUMIFS(AnalyticsDetail[implementation_hours],AnalyticsDetail[github_username],A7,AnalyticsDetail[week],B7,AnalyticsDetail[implementation_verification],"Reported unverified*")</f>
        <v/>
      </c>
      <c r="E7" s="3">
        <f>C7+D7</f>
        <v/>
      </c>
      <c r="F7" s="3">
        <f>COUNTIFS(AnalyticsDetail[github_username],A7,AnalyticsDetail[week],B7,AnalyticsDetail[pr_number],"&gt;0")</f>
        <v/>
      </c>
      <c r="G7" s="3">
        <f>COUNTIFS(AnalyticsDetail[github_username],A7,AnalyticsDetail[week],B7,AnalyticsDetail[pr_number],"")</f>
        <v/>
      </c>
      <c r="H7" s="3">
        <f>COUNTIFS(AnalyticsDetail[github_username],A7,AnalyticsDetail[week],B7,AnalyticsDetail[manual_review_flag],"YES*")</f>
        <v/>
      </c>
      <c r="I7" s="3">
        <f>IFERROR(AVERAGEIFS(AnalyticsDetail[time_to_first_review_hours],AnalyticsDetail[github_username],A7,AnalyticsDetail[week],B7),"")</f>
        <v/>
      </c>
      <c r="J7" s="3">
        <f>IFERROR(AVERAGEIFS(AnalyticsDetail[time_to_approval_hours],AnalyticsDetail[github_username],A7,AnalyticsDetail[week],B7),"")</f>
        <v/>
      </c>
      <c r="K7" s="3">
        <f>IFERROR(AVERAGEIFS(AnalyticsDetail[pr_cycle_time_hours],AnalyticsDetail[github_username],A7,AnalyticsDetail[week],B7),"")</f>
        <v/>
      </c>
      <c r="L7" s="3">
        <f>SUMIFS(AnalyticsDetail[comments],AnalyticsDetail[github_username],A7,AnalyticsDetail[week],B7)</f>
        <v/>
      </c>
      <c r="M7" s="3">
        <f>SUMIFS(AnalyticsDetail[changes_requested],AnalyticsDetail[github_username],A7,AnalyticsDetail[week],B7)</f>
        <v/>
      </c>
    </row>
    <row r="8">
      <c r="A8" s="2" t="inlineStr">
        <is>
          <t>yta3216</t>
        </is>
      </c>
      <c r="B8" s="2" t="inlineStr">
        <is>
          <t>May 18-24, 2026</t>
        </is>
      </c>
      <c r="C8" s="3">
        <f>SUMIFS(AnalyticsDetail[implementation_hours],AnalyticsDetail[github_username],A8,AnalyticsDetail[week],B8,AnalyticsDetail[implementation_verification],"Verified*")</f>
        <v/>
      </c>
      <c r="D8" s="3">
        <f>SUMIFS(AnalyticsDetail[implementation_hours],AnalyticsDetail[github_username],A8,AnalyticsDetail[week],B8,AnalyticsDetail[implementation_verification],"Reported unverified*")</f>
        <v/>
      </c>
      <c r="E8" s="3">
        <f>C8+D8</f>
        <v/>
      </c>
      <c r="F8" s="3">
        <f>COUNTIFS(AnalyticsDetail[github_username],A8,AnalyticsDetail[week],B8,AnalyticsDetail[pr_number],"&gt;0")</f>
        <v/>
      </c>
      <c r="G8" s="3">
        <f>COUNTIFS(AnalyticsDetail[github_username],A8,AnalyticsDetail[week],B8,AnalyticsDetail[pr_number],"")</f>
        <v/>
      </c>
      <c r="H8" s="3">
        <f>COUNTIFS(AnalyticsDetail[github_username],A8,AnalyticsDetail[week],B8,AnalyticsDetail[manual_review_flag],"YES*")</f>
        <v/>
      </c>
      <c r="I8" s="3">
        <f>IFERROR(AVERAGEIFS(AnalyticsDetail[time_to_first_review_hours],AnalyticsDetail[github_username],A8,AnalyticsDetail[week],B8),"")</f>
        <v/>
      </c>
      <c r="J8" s="3">
        <f>IFERROR(AVERAGEIFS(AnalyticsDetail[time_to_approval_hours],AnalyticsDetail[github_username],A8,AnalyticsDetail[week],B8),"")</f>
        <v/>
      </c>
      <c r="K8" s="3">
        <f>IFERROR(AVERAGEIFS(AnalyticsDetail[pr_cycle_time_hours],AnalyticsDetail[github_username],A8,AnalyticsDetail[week],B8),"")</f>
        <v/>
      </c>
      <c r="L8" s="3">
        <f>SUMIFS(AnalyticsDetail[comments],AnalyticsDetail[github_username],A8,AnalyticsDetail[week],B8)</f>
        <v/>
      </c>
      <c r="M8" s="3">
        <f>SUMIFS(AnalyticsDetail[changes_requested],AnalyticsDetail[github_username],A8,AnalyticsDetail[week],B8)</f>
        <v/>
      </c>
    </row>
    <row r="9">
      <c r="A9" s="2" t="inlineStr">
        <is>
          <t>yta3216</t>
        </is>
      </c>
      <c r="B9" s="2" t="inlineStr">
        <is>
          <t>May 25-31, 2026</t>
        </is>
      </c>
      <c r="C9" s="3">
        <f>SUMIFS(AnalyticsDetail[implementation_hours],AnalyticsDetail[github_username],A9,AnalyticsDetail[week],B9,AnalyticsDetail[implementation_verification],"Verified*")</f>
        <v/>
      </c>
      <c r="D9" s="3">
        <f>SUMIFS(AnalyticsDetail[implementation_hours],AnalyticsDetail[github_username],A9,AnalyticsDetail[week],B9,AnalyticsDetail[implementation_verification],"Reported unverified*")</f>
        <v/>
      </c>
      <c r="E9" s="3">
        <f>C9+D9</f>
        <v/>
      </c>
      <c r="F9" s="3">
        <f>COUNTIFS(AnalyticsDetail[github_username],A9,AnalyticsDetail[week],B9,AnalyticsDetail[pr_number],"&gt;0")</f>
        <v/>
      </c>
      <c r="G9" s="3">
        <f>COUNTIFS(AnalyticsDetail[github_username],A9,AnalyticsDetail[week],B9,AnalyticsDetail[pr_number],"")</f>
        <v/>
      </c>
      <c r="H9" s="3">
        <f>COUNTIFS(AnalyticsDetail[github_username],A9,AnalyticsDetail[week],B9,AnalyticsDetail[manual_review_flag],"YES*")</f>
        <v/>
      </c>
      <c r="I9" s="3">
        <f>IFERROR(AVERAGEIFS(AnalyticsDetail[time_to_first_review_hours],AnalyticsDetail[github_username],A9,AnalyticsDetail[week],B9),"")</f>
        <v/>
      </c>
      <c r="J9" s="3">
        <f>IFERROR(AVERAGEIFS(AnalyticsDetail[time_to_approval_hours],AnalyticsDetail[github_username],A9,AnalyticsDetail[week],B9),"")</f>
        <v/>
      </c>
      <c r="K9" s="3">
        <f>IFERROR(AVERAGEIFS(AnalyticsDetail[pr_cycle_time_hours],AnalyticsDetail[github_username],A9,AnalyticsDetail[week],B9),"")</f>
        <v/>
      </c>
      <c r="L9" s="3">
        <f>SUMIFS(AnalyticsDetail[comments],AnalyticsDetail[github_username],A9,AnalyticsDetail[week],B9)</f>
        <v/>
      </c>
      <c r="M9" s="3">
        <f>SUMIFS(AnalyticsDetail[changes_requested],AnalyticsDetail[github_username],A9,AnalyticsDetail[week],B9)</f>
        <v/>
      </c>
    </row>
    <row r="10">
      <c r="A10" s="2" t="inlineStr">
        <is>
          <t>abdullahmoh21</t>
        </is>
      </c>
      <c r="B10" s="2" t="inlineStr">
        <is>
          <t>May 18-24, 2026</t>
        </is>
      </c>
      <c r="C10" s="3">
        <f>SUMIFS(AnalyticsDetail[implementation_hours],AnalyticsDetail[github_username],A10,AnalyticsDetail[week],B10,AnalyticsDetail[implementation_verification],"Verified*")</f>
        <v/>
      </c>
      <c r="D10" s="3">
        <f>SUMIFS(AnalyticsDetail[implementation_hours],AnalyticsDetail[github_username],A10,AnalyticsDetail[week],B10,AnalyticsDetail[implementation_verification],"Reported unverified*")</f>
        <v/>
      </c>
      <c r="E10" s="3">
        <f>C10+D10</f>
        <v/>
      </c>
      <c r="F10" s="3">
        <f>COUNTIFS(AnalyticsDetail[github_username],A10,AnalyticsDetail[week],B10,AnalyticsDetail[pr_number],"&gt;0")</f>
        <v/>
      </c>
      <c r="G10" s="3">
        <f>COUNTIFS(AnalyticsDetail[github_username],A10,AnalyticsDetail[week],B10,AnalyticsDetail[pr_number],"")</f>
        <v/>
      </c>
      <c r="H10" s="3">
        <f>COUNTIFS(AnalyticsDetail[github_username],A10,AnalyticsDetail[week],B10,AnalyticsDetail[manual_review_flag],"YES*")</f>
        <v/>
      </c>
      <c r="I10" s="3">
        <f>IFERROR(AVERAGEIFS(AnalyticsDetail[time_to_first_review_hours],AnalyticsDetail[github_username],A10,AnalyticsDetail[week],B10),"")</f>
        <v/>
      </c>
      <c r="J10" s="3">
        <f>IFERROR(AVERAGEIFS(AnalyticsDetail[time_to_approval_hours],AnalyticsDetail[github_username],A10,AnalyticsDetail[week],B10),"")</f>
        <v/>
      </c>
      <c r="K10" s="3">
        <f>IFERROR(AVERAGEIFS(AnalyticsDetail[pr_cycle_time_hours],AnalyticsDetail[github_username],A10,AnalyticsDetail[week],B10),"")</f>
        <v/>
      </c>
      <c r="L10" s="3">
        <f>SUMIFS(AnalyticsDetail[comments],AnalyticsDetail[github_username],A10,AnalyticsDetail[week],B10)</f>
        <v/>
      </c>
      <c r="M10" s="3">
        <f>SUMIFS(AnalyticsDetail[changes_requested],AnalyticsDetail[github_username],A10,AnalyticsDetail[week],B10)</f>
        <v/>
      </c>
    </row>
    <row r="11">
      <c r="A11" s="2" t="inlineStr">
        <is>
          <t>abdullahmoh21</t>
        </is>
      </c>
      <c r="B11" s="2" t="inlineStr">
        <is>
          <t>May 25-31, 2026</t>
        </is>
      </c>
      <c r="C11" s="3">
        <f>SUMIFS(AnalyticsDetail[implementation_hours],AnalyticsDetail[github_username],A11,AnalyticsDetail[week],B11,AnalyticsDetail[implementation_verification],"Verified*")</f>
        <v/>
      </c>
      <c r="D11" s="3">
        <f>SUMIFS(AnalyticsDetail[implementation_hours],AnalyticsDetail[github_username],A11,AnalyticsDetail[week],B11,AnalyticsDetail[implementation_verification],"Reported unverified*")</f>
        <v/>
      </c>
      <c r="E11" s="3">
        <f>C11+D11</f>
        <v/>
      </c>
      <c r="F11" s="3">
        <f>COUNTIFS(AnalyticsDetail[github_username],A11,AnalyticsDetail[week],B11,AnalyticsDetail[pr_number],"&gt;0")</f>
        <v/>
      </c>
      <c r="G11" s="3">
        <f>COUNTIFS(AnalyticsDetail[github_username],A11,AnalyticsDetail[week],B11,AnalyticsDetail[pr_number],"")</f>
        <v/>
      </c>
      <c r="H11" s="3">
        <f>COUNTIFS(AnalyticsDetail[github_username],A11,AnalyticsDetail[week],B11,AnalyticsDetail[manual_review_flag],"YES*")</f>
        <v/>
      </c>
      <c r="I11" s="3">
        <f>IFERROR(AVERAGEIFS(AnalyticsDetail[time_to_first_review_hours],AnalyticsDetail[github_username],A11,AnalyticsDetail[week],B11),"")</f>
        <v/>
      </c>
      <c r="J11" s="3">
        <f>IFERROR(AVERAGEIFS(AnalyticsDetail[time_to_approval_hours],AnalyticsDetail[github_username],A11,AnalyticsDetail[week],B11),"")</f>
        <v/>
      </c>
      <c r="K11" s="3">
        <f>IFERROR(AVERAGEIFS(AnalyticsDetail[pr_cycle_time_hours],AnalyticsDetail[github_username],A11,AnalyticsDetail[week],B11),"")</f>
        <v/>
      </c>
      <c r="L11" s="3">
        <f>SUMIFS(AnalyticsDetail[comments],AnalyticsDetail[github_username],A11,AnalyticsDetail[week],B11)</f>
        <v/>
      </c>
      <c r="M11" s="3">
        <f>SUMIFS(AnalyticsDetail[changes_requested],AnalyticsDetail[github_username],A11,AnalyticsDetail[week],B11)</f>
        <v/>
      </c>
    </row>
    <row r="12">
      <c r="A12" s="2" t="inlineStr">
        <is>
          <t>GlowyBlack</t>
        </is>
      </c>
      <c r="B12" s="2" t="inlineStr">
        <is>
          <t>May 18-24, 2026</t>
        </is>
      </c>
      <c r="C12" s="3">
        <f>SUMIFS(AnalyticsDetail[implementation_hours],AnalyticsDetail[github_username],A12,AnalyticsDetail[week],B12,AnalyticsDetail[implementation_verification],"Verified*")</f>
        <v/>
      </c>
      <c r="D12" s="3">
        <f>SUMIFS(AnalyticsDetail[implementation_hours],AnalyticsDetail[github_username],A12,AnalyticsDetail[week],B12,AnalyticsDetail[implementation_verification],"Reported unverified*")</f>
        <v/>
      </c>
      <c r="E12" s="3">
        <f>C12+D12</f>
        <v/>
      </c>
      <c r="F12" s="3">
        <f>COUNTIFS(AnalyticsDetail[github_username],A12,AnalyticsDetail[week],B12,AnalyticsDetail[pr_number],"&gt;0")</f>
        <v/>
      </c>
      <c r="G12" s="3">
        <f>COUNTIFS(AnalyticsDetail[github_username],A12,AnalyticsDetail[week],B12,AnalyticsDetail[pr_number],"")</f>
        <v/>
      </c>
      <c r="H12" s="3">
        <f>COUNTIFS(AnalyticsDetail[github_username],A12,AnalyticsDetail[week],B12,AnalyticsDetail[manual_review_flag],"YES*")</f>
        <v/>
      </c>
      <c r="I12" s="3">
        <f>IFERROR(AVERAGEIFS(AnalyticsDetail[time_to_first_review_hours],AnalyticsDetail[github_username],A12,AnalyticsDetail[week],B12),"")</f>
        <v/>
      </c>
      <c r="J12" s="3">
        <f>IFERROR(AVERAGEIFS(AnalyticsDetail[time_to_approval_hours],AnalyticsDetail[github_username],A12,AnalyticsDetail[week],B12),"")</f>
        <v/>
      </c>
      <c r="K12" s="3">
        <f>IFERROR(AVERAGEIFS(AnalyticsDetail[pr_cycle_time_hours],AnalyticsDetail[github_username],A12,AnalyticsDetail[week],B12),"")</f>
        <v/>
      </c>
      <c r="L12" s="3">
        <f>SUMIFS(AnalyticsDetail[comments],AnalyticsDetail[github_username],A12,AnalyticsDetail[week],B12)</f>
        <v/>
      </c>
      <c r="M12" s="3">
        <f>SUMIFS(AnalyticsDetail[changes_requested],AnalyticsDetail[github_username],A12,AnalyticsDetail[week],B12)</f>
        <v/>
      </c>
    </row>
    <row r="13">
      <c r="A13" s="2" t="inlineStr">
        <is>
          <t>GlowyBlack</t>
        </is>
      </c>
      <c r="B13" s="2" t="inlineStr">
        <is>
          <t>May 25-31, 2026</t>
        </is>
      </c>
      <c r="C13" s="3">
        <f>SUMIFS(AnalyticsDetail[implementation_hours],AnalyticsDetail[github_username],A13,AnalyticsDetail[week],B13,AnalyticsDetail[implementation_verification],"Verified*")</f>
        <v/>
      </c>
      <c r="D13" s="3">
        <f>SUMIFS(AnalyticsDetail[implementation_hours],AnalyticsDetail[github_username],A13,AnalyticsDetail[week],B13,AnalyticsDetail[implementation_verification],"Reported unverified*")</f>
        <v/>
      </c>
      <c r="E13" s="3">
        <f>C13+D13</f>
        <v/>
      </c>
      <c r="F13" s="3">
        <f>COUNTIFS(AnalyticsDetail[github_username],A13,AnalyticsDetail[week],B13,AnalyticsDetail[pr_number],"&gt;0")</f>
        <v/>
      </c>
      <c r="G13" s="3">
        <f>COUNTIFS(AnalyticsDetail[github_username],A13,AnalyticsDetail[week],B13,AnalyticsDetail[pr_number],"")</f>
        <v/>
      </c>
      <c r="H13" s="3">
        <f>COUNTIFS(AnalyticsDetail[github_username],A13,AnalyticsDetail[week],B13,AnalyticsDetail[manual_review_flag],"YES*")</f>
        <v/>
      </c>
      <c r="I13" s="3">
        <f>IFERROR(AVERAGEIFS(AnalyticsDetail[time_to_first_review_hours],AnalyticsDetail[github_username],A13,AnalyticsDetail[week],B13),"")</f>
        <v/>
      </c>
      <c r="J13" s="3">
        <f>IFERROR(AVERAGEIFS(AnalyticsDetail[time_to_approval_hours],AnalyticsDetail[github_username],A13,AnalyticsDetail[week],B13),"")</f>
        <v/>
      </c>
      <c r="K13" s="3">
        <f>IFERROR(AVERAGEIFS(AnalyticsDetail[pr_cycle_time_hours],AnalyticsDetail[github_username],A13,AnalyticsDetail[week],B13),"")</f>
        <v/>
      </c>
      <c r="L13" s="3">
        <f>SUMIFS(AnalyticsDetail[comments],AnalyticsDetail[github_username],A13,AnalyticsDetail[week],B13)</f>
        <v/>
      </c>
      <c r="M13" s="3">
        <f>SUMIFS(AnalyticsDetail[changes_requested],AnalyticsDetail[github_username],A13,AnalyticsDetail[week],B13)</f>
        <v/>
      </c>
    </row>
    <row r="14">
      <c r="A14" s="2" t="inlineStr">
        <is>
          <t>Ayyhab</t>
        </is>
      </c>
      <c r="B14" s="2" t="inlineStr">
        <is>
          <t>May 18-24, 2026</t>
        </is>
      </c>
      <c r="C14" s="3">
        <f>SUMIFS(AnalyticsDetail[implementation_hours],AnalyticsDetail[github_username],A14,AnalyticsDetail[week],B14,AnalyticsDetail[implementation_verification],"Verified*")</f>
        <v/>
      </c>
      <c r="D14" s="3">
        <f>SUMIFS(AnalyticsDetail[implementation_hours],AnalyticsDetail[github_username],A14,AnalyticsDetail[week],B14,AnalyticsDetail[implementation_verification],"Reported unverified*")</f>
        <v/>
      </c>
      <c r="E14" s="3">
        <f>C14+D14</f>
        <v/>
      </c>
      <c r="F14" s="3">
        <f>COUNTIFS(AnalyticsDetail[github_username],A14,AnalyticsDetail[week],B14,AnalyticsDetail[pr_number],"&gt;0")</f>
        <v/>
      </c>
      <c r="G14" s="3">
        <f>COUNTIFS(AnalyticsDetail[github_username],A14,AnalyticsDetail[week],B14,AnalyticsDetail[pr_number],"")</f>
        <v/>
      </c>
      <c r="H14" s="3">
        <f>COUNTIFS(AnalyticsDetail[github_username],A14,AnalyticsDetail[week],B14,AnalyticsDetail[manual_review_flag],"YES*")</f>
        <v/>
      </c>
      <c r="I14" s="3">
        <f>IFERROR(AVERAGEIFS(AnalyticsDetail[time_to_first_review_hours],AnalyticsDetail[github_username],A14,AnalyticsDetail[week],B14),"")</f>
        <v/>
      </c>
      <c r="J14" s="3">
        <f>IFERROR(AVERAGEIFS(AnalyticsDetail[time_to_approval_hours],AnalyticsDetail[github_username],A14,AnalyticsDetail[week],B14),"")</f>
        <v/>
      </c>
      <c r="K14" s="3">
        <f>IFERROR(AVERAGEIFS(AnalyticsDetail[pr_cycle_time_hours],AnalyticsDetail[github_username],A14,AnalyticsDetail[week],B14),"")</f>
        <v/>
      </c>
      <c r="L14" s="3">
        <f>SUMIFS(AnalyticsDetail[comments],AnalyticsDetail[github_username],A14,AnalyticsDetail[week],B14)</f>
        <v/>
      </c>
      <c r="M14" s="3">
        <f>SUMIFS(AnalyticsDetail[changes_requested],AnalyticsDetail[github_username],A14,AnalyticsDetail[week],B14)</f>
        <v/>
      </c>
    </row>
    <row r="15">
      <c r="A15" s="2" t="inlineStr">
        <is>
          <t>Ayyhab</t>
        </is>
      </c>
      <c r="B15" s="2" t="inlineStr">
        <is>
          <t>May 25-31, 2026</t>
        </is>
      </c>
      <c r="C15" s="3">
        <f>SUMIFS(AnalyticsDetail[implementation_hours],AnalyticsDetail[github_username],A15,AnalyticsDetail[week],B15,AnalyticsDetail[implementation_verification],"Verified*")</f>
        <v/>
      </c>
      <c r="D15" s="3">
        <f>SUMIFS(AnalyticsDetail[implementation_hours],AnalyticsDetail[github_username],A15,AnalyticsDetail[week],B15,AnalyticsDetail[implementation_verification],"Reported unverified*")</f>
        <v/>
      </c>
      <c r="E15" s="3">
        <f>C15+D15</f>
        <v/>
      </c>
      <c r="F15" s="3">
        <f>COUNTIFS(AnalyticsDetail[github_username],A15,AnalyticsDetail[week],B15,AnalyticsDetail[pr_number],"&gt;0")</f>
        <v/>
      </c>
      <c r="G15" s="3">
        <f>COUNTIFS(AnalyticsDetail[github_username],A15,AnalyticsDetail[week],B15,AnalyticsDetail[pr_number],"")</f>
        <v/>
      </c>
      <c r="H15" s="3">
        <f>COUNTIFS(AnalyticsDetail[github_username],A15,AnalyticsDetail[week],B15,AnalyticsDetail[manual_review_flag],"YES*")</f>
        <v/>
      </c>
      <c r="I15" s="3">
        <f>IFERROR(AVERAGEIFS(AnalyticsDetail[time_to_first_review_hours],AnalyticsDetail[github_username],A15,AnalyticsDetail[week],B15),"")</f>
        <v/>
      </c>
      <c r="J15" s="3">
        <f>IFERROR(AVERAGEIFS(AnalyticsDetail[time_to_approval_hours],AnalyticsDetail[github_username],A15,AnalyticsDetail[week],B15),"")</f>
        <v/>
      </c>
      <c r="K15" s="3">
        <f>IFERROR(AVERAGEIFS(AnalyticsDetail[pr_cycle_time_hours],AnalyticsDetail[github_username],A15,AnalyticsDetail[week],B15),"")</f>
        <v/>
      </c>
      <c r="L15" s="3">
        <f>SUMIFS(AnalyticsDetail[comments],AnalyticsDetail[github_username],A15,AnalyticsDetail[week],B15)</f>
        <v/>
      </c>
      <c r="M15" s="3">
        <f>SUMIFS(AnalyticsDetail[changes_requested],AnalyticsDetail[github_username],A15,AnalyticsDetail[week],B15)</f>
        <v/>
      </c>
    </row>
    <row r="16">
      <c r="A16" s="2" t="inlineStr">
        <is>
          <t>superbolt08</t>
        </is>
      </c>
      <c r="B16" s="2" t="inlineStr">
        <is>
          <t>May 18-24, 2026</t>
        </is>
      </c>
      <c r="C16" s="3">
        <f>SUMIFS(AnalyticsDetail[implementation_hours],AnalyticsDetail[github_username],A16,AnalyticsDetail[week],B16,AnalyticsDetail[implementation_verification],"Verified*")</f>
        <v/>
      </c>
      <c r="D16" s="3">
        <f>SUMIFS(AnalyticsDetail[implementation_hours],AnalyticsDetail[github_username],A16,AnalyticsDetail[week],B16,AnalyticsDetail[implementation_verification],"Reported unverified*")</f>
        <v/>
      </c>
      <c r="E16" s="3">
        <f>C16+D16</f>
        <v/>
      </c>
      <c r="F16" s="3">
        <f>COUNTIFS(AnalyticsDetail[github_username],A16,AnalyticsDetail[week],B16,AnalyticsDetail[pr_number],"&gt;0")</f>
        <v/>
      </c>
      <c r="G16" s="3">
        <f>COUNTIFS(AnalyticsDetail[github_username],A16,AnalyticsDetail[week],B16,AnalyticsDetail[pr_number],"")</f>
        <v/>
      </c>
      <c r="H16" s="3">
        <f>COUNTIFS(AnalyticsDetail[github_username],A16,AnalyticsDetail[week],B16,AnalyticsDetail[manual_review_flag],"YES*")</f>
        <v/>
      </c>
      <c r="I16" s="3">
        <f>IFERROR(AVERAGEIFS(AnalyticsDetail[time_to_first_review_hours],AnalyticsDetail[github_username],A16,AnalyticsDetail[week],B16),"")</f>
        <v/>
      </c>
      <c r="J16" s="3">
        <f>IFERROR(AVERAGEIFS(AnalyticsDetail[time_to_approval_hours],AnalyticsDetail[github_username],A16,AnalyticsDetail[week],B16),"")</f>
        <v/>
      </c>
      <c r="K16" s="3">
        <f>IFERROR(AVERAGEIFS(AnalyticsDetail[pr_cycle_time_hours],AnalyticsDetail[github_username],A16,AnalyticsDetail[week],B16),"")</f>
        <v/>
      </c>
      <c r="L16" s="3">
        <f>SUMIFS(AnalyticsDetail[comments],AnalyticsDetail[github_username],A16,AnalyticsDetail[week],B16)</f>
        <v/>
      </c>
      <c r="M16" s="3">
        <f>SUMIFS(AnalyticsDetail[changes_requested],AnalyticsDetail[github_username],A16,AnalyticsDetail[week],B16)</f>
        <v/>
      </c>
    </row>
    <row r="17">
      <c r="A17" s="2" t="inlineStr">
        <is>
          <t>superbolt08</t>
        </is>
      </c>
      <c r="B17" s="2" t="inlineStr">
        <is>
          <t>May 25-31, 2026</t>
        </is>
      </c>
      <c r="C17" s="3">
        <f>SUMIFS(AnalyticsDetail[implementation_hours],AnalyticsDetail[github_username],A17,AnalyticsDetail[week],B17,AnalyticsDetail[implementation_verification],"Verified*")</f>
        <v/>
      </c>
      <c r="D17" s="3">
        <f>SUMIFS(AnalyticsDetail[implementation_hours],AnalyticsDetail[github_username],A17,AnalyticsDetail[week],B17,AnalyticsDetail[implementation_verification],"Reported unverified*")</f>
        <v/>
      </c>
      <c r="E17" s="3">
        <f>C17+D17</f>
        <v/>
      </c>
      <c r="F17" s="3">
        <f>COUNTIFS(AnalyticsDetail[github_username],A17,AnalyticsDetail[week],B17,AnalyticsDetail[pr_number],"&gt;0")</f>
        <v/>
      </c>
      <c r="G17" s="3">
        <f>COUNTIFS(AnalyticsDetail[github_username],A17,AnalyticsDetail[week],B17,AnalyticsDetail[pr_number],"")</f>
        <v/>
      </c>
      <c r="H17" s="3">
        <f>COUNTIFS(AnalyticsDetail[github_username],A17,AnalyticsDetail[week],B17,AnalyticsDetail[manual_review_flag],"YES*")</f>
        <v/>
      </c>
      <c r="I17" s="3">
        <f>IFERROR(AVERAGEIFS(AnalyticsDetail[time_to_first_review_hours],AnalyticsDetail[github_username],A17,AnalyticsDetail[week],B17),"")</f>
        <v/>
      </c>
      <c r="J17" s="3">
        <f>IFERROR(AVERAGEIFS(AnalyticsDetail[time_to_approval_hours],AnalyticsDetail[github_username],A17,AnalyticsDetail[week],B17),"")</f>
        <v/>
      </c>
      <c r="K17" s="3">
        <f>IFERROR(AVERAGEIFS(AnalyticsDetail[pr_cycle_time_hours],AnalyticsDetail[github_username],A17,AnalyticsDetail[week],B17),"")</f>
        <v/>
      </c>
      <c r="L17" s="3">
        <f>SUMIFS(AnalyticsDetail[comments],AnalyticsDetail[github_username],A17,AnalyticsDetail[week],B17)</f>
        <v/>
      </c>
      <c r="M17" s="3">
        <f>SUMIFS(AnalyticsDetail[changes_requested],AnalyticsDetail[github_username],A17,AnalyticsDetail[week],B17)</f>
        <v/>
      </c>
    </row>
    <row r="18">
      <c r="A18" s="2" t="inlineStr">
        <is>
          <t>ebabar5</t>
        </is>
      </c>
      <c r="B18" s="2" t="inlineStr">
        <is>
          <t>May 18-24, 2026</t>
        </is>
      </c>
      <c r="C18" s="3">
        <f>SUMIFS(AnalyticsDetail[implementation_hours],AnalyticsDetail[github_username],A18,AnalyticsDetail[week],B18,AnalyticsDetail[implementation_verification],"Verified*")</f>
        <v/>
      </c>
      <c r="D18" s="3">
        <f>SUMIFS(AnalyticsDetail[implementation_hours],AnalyticsDetail[github_username],A18,AnalyticsDetail[week],B18,AnalyticsDetail[implementation_verification],"Reported unverified*")</f>
        <v/>
      </c>
      <c r="E18" s="3">
        <f>C18+D18</f>
        <v/>
      </c>
      <c r="F18" s="3">
        <f>COUNTIFS(AnalyticsDetail[github_username],A18,AnalyticsDetail[week],B18,AnalyticsDetail[pr_number],"&gt;0")</f>
        <v/>
      </c>
      <c r="G18" s="3">
        <f>COUNTIFS(AnalyticsDetail[github_username],A18,AnalyticsDetail[week],B18,AnalyticsDetail[pr_number],"")</f>
        <v/>
      </c>
      <c r="H18" s="3">
        <f>COUNTIFS(AnalyticsDetail[github_username],A18,AnalyticsDetail[week],B18,AnalyticsDetail[manual_review_flag],"YES*")</f>
        <v/>
      </c>
      <c r="I18" s="3">
        <f>IFERROR(AVERAGEIFS(AnalyticsDetail[time_to_first_review_hours],AnalyticsDetail[github_username],A18,AnalyticsDetail[week],B18),"")</f>
        <v/>
      </c>
      <c r="J18" s="3">
        <f>IFERROR(AVERAGEIFS(AnalyticsDetail[time_to_approval_hours],AnalyticsDetail[github_username],A18,AnalyticsDetail[week],B18),"")</f>
        <v/>
      </c>
      <c r="K18" s="3">
        <f>IFERROR(AVERAGEIFS(AnalyticsDetail[pr_cycle_time_hours],AnalyticsDetail[github_username],A18,AnalyticsDetail[week],B18),"")</f>
        <v/>
      </c>
      <c r="L18" s="3">
        <f>SUMIFS(AnalyticsDetail[comments],AnalyticsDetail[github_username],A18,AnalyticsDetail[week],B18)</f>
        <v/>
      </c>
      <c r="M18" s="3">
        <f>SUMIFS(AnalyticsDetail[changes_requested],AnalyticsDetail[github_username],A18,AnalyticsDetail[week],B18)</f>
        <v/>
      </c>
    </row>
    <row r="19">
      <c r="A19" s="2" t="inlineStr">
        <is>
          <t>ebabar5</t>
        </is>
      </c>
      <c r="B19" s="2" t="inlineStr">
        <is>
          <t>May 25-31, 2026</t>
        </is>
      </c>
      <c r="C19" s="3">
        <f>SUMIFS(AnalyticsDetail[implementation_hours],AnalyticsDetail[github_username],A19,AnalyticsDetail[week],B19,AnalyticsDetail[implementation_verification],"Verified*")</f>
        <v/>
      </c>
      <c r="D19" s="3">
        <f>SUMIFS(AnalyticsDetail[implementation_hours],AnalyticsDetail[github_username],A19,AnalyticsDetail[week],B19,AnalyticsDetail[implementation_verification],"Reported unverified*")</f>
        <v/>
      </c>
      <c r="E19" s="3">
        <f>C19+D19</f>
        <v/>
      </c>
      <c r="F19" s="3">
        <f>COUNTIFS(AnalyticsDetail[github_username],A19,AnalyticsDetail[week],B19,AnalyticsDetail[pr_number],"&gt;0")</f>
        <v/>
      </c>
      <c r="G19" s="3">
        <f>COUNTIFS(AnalyticsDetail[github_username],A19,AnalyticsDetail[week],B19,AnalyticsDetail[pr_number],"")</f>
        <v/>
      </c>
      <c r="H19" s="3">
        <f>COUNTIFS(AnalyticsDetail[github_username],A19,AnalyticsDetail[week],B19,AnalyticsDetail[manual_review_flag],"YES*")</f>
        <v/>
      </c>
      <c r="I19" s="3">
        <f>IFERROR(AVERAGEIFS(AnalyticsDetail[time_to_first_review_hours],AnalyticsDetail[github_username],A19,AnalyticsDetail[week],B19),"")</f>
        <v/>
      </c>
      <c r="J19" s="3">
        <f>IFERROR(AVERAGEIFS(AnalyticsDetail[time_to_approval_hours],AnalyticsDetail[github_username],A19,AnalyticsDetail[week],B19),"")</f>
        <v/>
      </c>
      <c r="K19" s="3">
        <f>IFERROR(AVERAGEIFS(AnalyticsDetail[pr_cycle_time_hours],AnalyticsDetail[github_username],A19,AnalyticsDetail[week],B19),"")</f>
        <v/>
      </c>
      <c r="L19" s="3">
        <f>SUMIFS(AnalyticsDetail[comments],AnalyticsDetail[github_username],A19,AnalyticsDetail[week],B19)</f>
        <v/>
      </c>
      <c r="M19" s="3">
        <f>SUMIFS(AnalyticsDetail[changes_requested],AnalyticsDetail[github_username],A19,AnalyticsDetail[week],B19)</f>
        <v/>
      </c>
    </row>
    <row r="20">
      <c r="A20" s="2" t="inlineStr">
        <is>
          <t>KitheK</t>
        </is>
      </c>
      <c r="B20" s="2" t="inlineStr">
        <is>
          <t>May 18-24, 2026</t>
        </is>
      </c>
      <c r="C20" s="3">
        <f>SUMIFS(AnalyticsDetail[implementation_hours],AnalyticsDetail[github_username],A20,AnalyticsDetail[week],B20,AnalyticsDetail[implementation_verification],"Verified*")</f>
        <v/>
      </c>
      <c r="D20" s="3">
        <f>SUMIFS(AnalyticsDetail[implementation_hours],AnalyticsDetail[github_username],A20,AnalyticsDetail[week],B20,AnalyticsDetail[implementation_verification],"Reported unverified*")</f>
        <v/>
      </c>
      <c r="E20" s="3">
        <f>C20+D20</f>
        <v/>
      </c>
      <c r="F20" s="3">
        <f>COUNTIFS(AnalyticsDetail[github_username],A20,AnalyticsDetail[week],B20,AnalyticsDetail[pr_number],"&gt;0")</f>
        <v/>
      </c>
      <c r="G20" s="3">
        <f>COUNTIFS(AnalyticsDetail[github_username],A20,AnalyticsDetail[week],B20,AnalyticsDetail[pr_number],"")</f>
        <v/>
      </c>
      <c r="H20" s="3">
        <f>COUNTIFS(AnalyticsDetail[github_username],A20,AnalyticsDetail[week],B20,AnalyticsDetail[manual_review_flag],"YES*")</f>
        <v/>
      </c>
      <c r="I20" s="3">
        <f>IFERROR(AVERAGEIFS(AnalyticsDetail[time_to_first_review_hours],AnalyticsDetail[github_username],A20,AnalyticsDetail[week],B20),"")</f>
        <v/>
      </c>
      <c r="J20" s="3">
        <f>IFERROR(AVERAGEIFS(AnalyticsDetail[time_to_approval_hours],AnalyticsDetail[github_username],A20,AnalyticsDetail[week],B20),"")</f>
        <v/>
      </c>
      <c r="K20" s="3">
        <f>IFERROR(AVERAGEIFS(AnalyticsDetail[pr_cycle_time_hours],AnalyticsDetail[github_username],A20,AnalyticsDetail[week],B20),"")</f>
        <v/>
      </c>
      <c r="L20" s="3">
        <f>SUMIFS(AnalyticsDetail[comments],AnalyticsDetail[github_username],A20,AnalyticsDetail[week],B20)</f>
        <v/>
      </c>
      <c r="M20" s="3">
        <f>SUMIFS(AnalyticsDetail[changes_requested],AnalyticsDetail[github_username],A20,AnalyticsDetail[week],B20)</f>
        <v/>
      </c>
    </row>
    <row r="21">
      <c r="A21" s="2" t="inlineStr">
        <is>
          <t>KitheK</t>
        </is>
      </c>
      <c r="B21" s="2" t="inlineStr">
        <is>
          <t>May 25-31, 2026</t>
        </is>
      </c>
      <c r="C21" s="3">
        <f>SUMIFS(AnalyticsDetail[implementation_hours],AnalyticsDetail[github_username],A21,AnalyticsDetail[week],B21,AnalyticsDetail[implementation_verification],"Verified*")</f>
        <v/>
      </c>
      <c r="D21" s="3">
        <f>SUMIFS(AnalyticsDetail[implementation_hours],AnalyticsDetail[github_username],A21,AnalyticsDetail[week],B21,AnalyticsDetail[implementation_verification],"Reported unverified*")</f>
        <v/>
      </c>
      <c r="E21" s="3">
        <f>C21+D21</f>
        <v/>
      </c>
      <c r="F21" s="3">
        <f>COUNTIFS(AnalyticsDetail[github_username],A21,AnalyticsDetail[week],B21,AnalyticsDetail[pr_number],"&gt;0")</f>
        <v/>
      </c>
      <c r="G21" s="3">
        <f>COUNTIFS(AnalyticsDetail[github_username],A21,AnalyticsDetail[week],B21,AnalyticsDetail[pr_number],"")</f>
        <v/>
      </c>
      <c r="H21" s="3">
        <f>COUNTIFS(AnalyticsDetail[github_username],A21,AnalyticsDetail[week],B21,AnalyticsDetail[manual_review_flag],"YES*")</f>
        <v/>
      </c>
      <c r="I21" s="3">
        <f>IFERROR(AVERAGEIFS(AnalyticsDetail[time_to_first_review_hours],AnalyticsDetail[github_username],A21,AnalyticsDetail[week],B21),"")</f>
        <v/>
      </c>
      <c r="J21" s="3">
        <f>IFERROR(AVERAGEIFS(AnalyticsDetail[time_to_approval_hours],AnalyticsDetail[github_username],A21,AnalyticsDetail[week],B21),"")</f>
        <v/>
      </c>
      <c r="K21" s="3">
        <f>IFERROR(AVERAGEIFS(AnalyticsDetail[pr_cycle_time_hours],AnalyticsDetail[github_username],A21,AnalyticsDetail[week],B21),"")</f>
        <v/>
      </c>
      <c r="L21" s="3">
        <f>SUMIFS(AnalyticsDetail[comments],AnalyticsDetail[github_username],A21,AnalyticsDetail[week],B21)</f>
        <v/>
      </c>
      <c r="M21" s="3">
        <f>SUMIFS(AnalyticsDetail[changes_requested],AnalyticsDetail[github_username],A21,AnalyticsDetail[week],B21)</f>
        <v/>
      </c>
    </row>
    <row r="22">
      <c r="A22" s="2" t="inlineStr">
        <is>
          <t>frostbitcactus</t>
        </is>
      </c>
      <c r="B22" s="2" t="inlineStr">
        <is>
          <t>May 18-24, 2026</t>
        </is>
      </c>
      <c r="C22" s="3">
        <f>SUMIFS(AnalyticsDetail[implementation_hours],AnalyticsDetail[github_username],A22,AnalyticsDetail[week],B22,AnalyticsDetail[implementation_verification],"Verified*")</f>
        <v/>
      </c>
      <c r="D22" s="3">
        <f>SUMIFS(AnalyticsDetail[implementation_hours],AnalyticsDetail[github_username],A22,AnalyticsDetail[week],B22,AnalyticsDetail[implementation_verification],"Reported unverified*")</f>
        <v/>
      </c>
      <c r="E22" s="3">
        <f>C22+D22</f>
        <v/>
      </c>
      <c r="F22" s="3">
        <f>COUNTIFS(AnalyticsDetail[github_username],A22,AnalyticsDetail[week],B22,AnalyticsDetail[pr_number],"&gt;0")</f>
        <v/>
      </c>
      <c r="G22" s="3">
        <f>COUNTIFS(AnalyticsDetail[github_username],A22,AnalyticsDetail[week],B22,AnalyticsDetail[pr_number],"")</f>
        <v/>
      </c>
      <c r="H22" s="3">
        <f>COUNTIFS(AnalyticsDetail[github_username],A22,AnalyticsDetail[week],B22,AnalyticsDetail[manual_review_flag],"YES*")</f>
        <v/>
      </c>
      <c r="I22" s="3">
        <f>IFERROR(AVERAGEIFS(AnalyticsDetail[time_to_first_review_hours],AnalyticsDetail[github_username],A22,AnalyticsDetail[week],B22),"")</f>
        <v/>
      </c>
      <c r="J22" s="3">
        <f>IFERROR(AVERAGEIFS(AnalyticsDetail[time_to_approval_hours],AnalyticsDetail[github_username],A22,AnalyticsDetail[week],B22),"")</f>
        <v/>
      </c>
      <c r="K22" s="3">
        <f>IFERROR(AVERAGEIFS(AnalyticsDetail[pr_cycle_time_hours],AnalyticsDetail[github_username],A22,AnalyticsDetail[week],B22),"")</f>
        <v/>
      </c>
      <c r="L22" s="3">
        <f>SUMIFS(AnalyticsDetail[comments],AnalyticsDetail[github_username],A22,AnalyticsDetail[week],B22)</f>
        <v/>
      </c>
      <c r="M22" s="3">
        <f>SUMIFS(AnalyticsDetail[changes_requested],AnalyticsDetail[github_username],A22,AnalyticsDetail[week],B22)</f>
        <v/>
      </c>
    </row>
    <row r="23">
      <c r="A23" s="2" t="inlineStr">
        <is>
          <t>frostbitcactus</t>
        </is>
      </c>
      <c r="B23" s="2" t="inlineStr">
        <is>
          <t>May 25-31, 2026</t>
        </is>
      </c>
      <c r="C23" s="3">
        <f>SUMIFS(AnalyticsDetail[implementation_hours],AnalyticsDetail[github_username],A23,AnalyticsDetail[week],B23,AnalyticsDetail[implementation_verification],"Verified*")</f>
        <v/>
      </c>
      <c r="D23" s="3">
        <f>SUMIFS(AnalyticsDetail[implementation_hours],AnalyticsDetail[github_username],A23,AnalyticsDetail[week],B23,AnalyticsDetail[implementation_verification],"Reported unverified*")</f>
        <v/>
      </c>
      <c r="E23" s="3">
        <f>C23+D23</f>
        <v/>
      </c>
      <c r="F23" s="3">
        <f>COUNTIFS(AnalyticsDetail[github_username],A23,AnalyticsDetail[week],B23,AnalyticsDetail[pr_number],"&gt;0")</f>
        <v/>
      </c>
      <c r="G23" s="3">
        <f>COUNTIFS(AnalyticsDetail[github_username],A23,AnalyticsDetail[week],B23,AnalyticsDetail[pr_number],"")</f>
        <v/>
      </c>
      <c r="H23" s="3">
        <f>COUNTIFS(AnalyticsDetail[github_username],A23,AnalyticsDetail[week],B23,AnalyticsDetail[manual_review_flag],"YES*")</f>
        <v/>
      </c>
      <c r="I23" s="3">
        <f>IFERROR(AVERAGEIFS(AnalyticsDetail[time_to_first_review_hours],AnalyticsDetail[github_username],A23,AnalyticsDetail[week],B23),"")</f>
        <v/>
      </c>
      <c r="J23" s="3">
        <f>IFERROR(AVERAGEIFS(AnalyticsDetail[time_to_approval_hours],AnalyticsDetail[github_username],A23,AnalyticsDetail[week],B23),"")</f>
        <v/>
      </c>
      <c r="K23" s="3">
        <f>IFERROR(AVERAGEIFS(AnalyticsDetail[pr_cycle_time_hours],AnalyticsDetail[github_username],A23,AnalyticsDetail[week],B23),"")</f>
        <v/>
      </c>
      <c r="L23" s="3">
        <f>SUMIFS(AnalyticsDetail[comments],AnalyticsDetail[github_username],A23,AnalyticsDetail[week],B23)</f>
        <v/>
      </c>
      <c r="M23" s="3">
        <f>SUMIFS(AnalyticsDetail[changes_requested],AnalyticsDetail[github_username],A23,AnalyticsDetail[week],B23)</f>
        <v/>
      </c>
    </row>
  </sheetData>
  <autoFilter ref="A1:M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43" customWidth="1" min="4" max="4"/>
    <col width="14" customWidth="1" min="5" max="5"/>
    <col width="55" customWidth="1" min="6" max="6"/>
    <col width="55" customWidth="1" min="7" max="7"/>
    <col width="53" customWidth="1" min="8" max="8"/>
    <col width="12" customWidth="1" min="9" max="9"/>
    <col width="55" customWidth="1" min="10" max="10"/>
    <col width="55" customWidth="1" min="11" max="11"/>
    <col width="15" customWidth="1" min="12" max="12"/>
    <col width="12" customWidth="1" min="13" max="13"/>
    <col width="24" customWidth="1" min="14" max="14"/>
    <col width="36" customWidth="1" min="15" max="15"/>
    <col width="28" customWidth="1" min="16" max="16"/>
    <col width="24" customWidth="1" min="17" max="17"/>
    <col width="12" customWidth="1" min="18" max="18"/>
    <col width="19" customWidth="1" min="19" max="19"/>
    <col width="21" customWidth="1" min="20" max="20"/>
    <col width="41" customWidth="1" min="21" max="21"/>
    <col width="27" customWidth="1" min="22" max="22"/>
    <col width="55" customWidth="1" min="23" max="23"/>
  </cols>
  <sheetData>
    <row r="1">
      <c r="A1" s="1" t="inlineStr">
        <is>
          <t>week</t>
        </is>
      </c>
      <c r="B1" s="1" t="inlineStr">
        <is>
          <t>github_username</t>
        </is>
      </c>
      <c r="C1" s="1" t="inlineStr">
        <is>
          <t>implementation_hours</t>
        </is>
      </c>
      <c r="D1" s="1" t="inlineStr">
        <is>
          <t>implementation_verification</t>
        </is>
      </c>
      <c r="E1" s="1" t="inlineStr">
        <is>
          <t>issue_number</t>
        </is>
      </c>
      <c r="F1" s="1" t="inlineStr">
        <is>
          <t>issue_link</t>
        </is>
      </c>
      <c r="G1" s="1" t="inlineStr">
        <is>
          <t>issue_title</t>
        </is>
      </c>
      <c r="H1" s="1" t="inlineStr">
        <is>
          <t>source_line</t>
        </is>
      </c>
      <c r="I1" s="1" t="inlineStr">
        <is>
          <t>pr_number</t>
        </is>
      </c>
      <c r="J1" s="1" t="inlineStr">
        <is>
          <t>pr_link</t>
        </is>
      </c>
      <c r="K1" s="1" t="inlineStr">
        <is>
          <t>pr_title</t>
        </is>
      </c>
      <c r="L1" s="1" t="inlineStr">
        <is>
          <t>pr_author</t>
        </is>
      </c>
      <c r="M1" s="1" t="inlineStr">
        <is>
          <t>pr_state</t>
        </is>
      </c>
      <c r="N1" s="1" t="inlineStr">
        <is>
          <t>pr_closing_issue_count</t>
        </is>
      </c>
      <c r="O1" s="1" t="inlineStr">
        <is>
          <t>pr_closing_issues</t>
        </is>
      </c>
      <c r="P1" s="1" t="inlineStr">
        <is>
          <t>time_to_first_review_hours</t>
        </is>
      </c>
      <c r="Q1" s="1" t="inlineStr">
        <is>
          <t>time_to_approval_hours</t>
        </is>
      </c>
      <c r="R1" s="1" t="inlineStr">
        <is>
          <t>comments</t>
        </is>
      </c>
      <c r="S1" s="1" t="inlineStr">
        <is>
          <t>changes_requested</t>
        </is>
      </c>
      <c r="T1" s="1" t="inlineStr">
        <is>
          <t>pr_cycle_time_hours</t>
        </is>
      </c>
      <c r="U1" s="1" t="inlineStr">
        <is>
          <t>metric_source</t>
        </is>
      </c>
      <c r="V1" s="1" t="inlineStr">
        <is>
          <t>manual_review_flag</t>
        </is>
      </c>
      <c r="W1" s="1" t="inlineStr">
        <is>
          <t>notes</t>
        </is>
      </c>
    </row>
    <row r="2">
      <c r="A2" s="2" t="inlineStr">
        <is>
          <t>May 18-24, 2026</t>
        </is>
      </c>
      <c r="B2" s="2" t="inlineStr">
        <is>
          <t>abdullahmoh21</t>
        </is>
      </c>
      <c r="C2" s="3" t="n">
        <v>2</v>
      </c>
      <c r="D2" s="2" t="inlineStr">
        <is>
          <t>Verified - closing PR found</t>
        </is>
      </c>
      <c r="E2" s="3" t="n">
        <v>121</v>
      </c>
      <c r="F2" s="3">
        <f>HYPERLINK("https://github.com/EduAI-Lab/EduAI/issues/121","#121")</f>
        <v/>
      </c>
      <c r="G2" s="2" t="inlineStr">
        <is>
          <t>S: Week 2,3 - Migrate Ai-tutor to use npm instead of bun</t>
        </is>
      </c>
      <c r="H2" s="2" t="inlineStr">
        <is>
          <t>Hours to complete(week 3): 2</t>
        </is>
      </c>
      <c r="I2" s="3" t="n">
        <v>124</v>
      </c>
      <c r="J2" s="3">
        <f>HYPERLINK("https://github.com/EduAI-Lab/EduAI/pull/124","#124")</f>
        <v/>
      </c>
      <c r="K2" s="2" t="inlineStr">
        <is>
          <t>Migrated AI-tutor to use npm instead of bun</t>
        </is>
      </c>
      <c r="L2" s="2" t="inlineStr">
        <is>
          <t>abdullahmoh21</t>
        </is>
      </c>
      <c r="M2" s="2" t="inlineStr">
        <is>
          <t>MERGED</t>
        </is>
      </c>
      <c r="N2" s="3" t="n">
        <v>1</v>
      </c>
      <c r="O2" s="2" t="inlineStr">
        <is>
          <t>#121</t>
        </is>
      </c>
      <c r="P2" s="3" t="n">
        <v>0.29</v>
      </c>
      <c r="Q2" s="3" t="n">
        <v>0.29</v>
      </c>
      <c r="R2" s="3" t="n">
        <v>3</v>
      </c>
      <c r="S2" s="3" t="n">
        <v>2</v>
      </c>
      <c r="T2" s="3" t="n">
        <v>73.76000000000001</v>
      </c>
      <c r="U2" s="2" t="inlineStr">
        <is>
          <t>GitHub CLI fallback</t>
        </is>
      </c>
      <c r="V2" s="2" t="inlineStr"/>
      <c r="W2" s="2" t="inlineStr">
        <is>
          <t>Manual parser accepted explicit hours syntax</t>
        </is>
      </c>
    </row>
    <row r="3">
      <c r="A3" s="4" t="inlineStr">
        <is>
          <t>May 18-24, 2026</t>
        </is>
      </c>
      <c r="B3" s="4" t="inlineStr">
        <is>
          <t>abdullahmoh21</t>
        </is>
      </c>
      <c r="C3" s="5" t="n">
        <v>2</v>
      </c>
      <c r="D3" s="4" t="inlineStr">
        <is>
          <t>Reported unverified - no closing PR found</t>
        </is>
      </c>
      <c r="E3" s="5" t="n">
        <v>122</v>
      </c>
      <c r="F3" s="5">
        <f>HYPERLINK("https://github.com/EduAI-Lab/EduAI/issues/122","#122")</f>
        <v/>
      </c>
      <c r="G3" s="4" t="inlineStr">
        <is>
          <t>S: Week 2,3 - Translate Question Maker tests into vitest</t>
        </is>
      </c>
      <c r="H3" s="4" t="inlineStr">
        <is>
          <t>Hours to complete(week 3): 2</t>
        </is>
      </c>
      <c r="I3" s="4" t="inlineStr"/>
      <c r="J3" s="4" t="inlineStr"/>
      <c r="K3" s="4" t="inlineStr"/>
      <c r="L3" s="4" t="inlineStr"/>
      <c r="M3" s="4" t="inlineStr"/>
      <c r="N3" s="5" t="n">
        <v>0</v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>
        <is>
          <t>YES - no closing PR found</t>
        </is>
      </c>
      <c r="W3" s="4" t="inlineStr">
        <is>
          <t>Manual parser accepted explicit hours syntax</t>
        </is>
      </c>
    </row>
    <row r="4">
      <c r="A4" s="2" t="inlineStr">
        <is>
          <t>May 18-24, 2026</t>
        </is>
      </c>
      <c r="B4" s="2" t="inlineStr">
        <is>
          <t>abdullahmoh21</t>
        </is>
      </c>
      <c r="C4" s="3" t="n">
        <v>1</v>
      </c>
      <c r="D4" s="2" t="inlineStr">
        <is>
          <t>Verified - closing PR found</t>
        </is>
      </c>
      <c r="E4" s="3" t="n">
        <v>154</v>
      </c>
      <c r="F4" s="3">
        <f>HYPERLINK("https://github.com/EduAI-Lab/EduAI/issues/154","#154")</f>
        <v/>
      </c>
      <c r="G4" s="2" t="inlineStr">
        <is>
          <t>S: Week 2,3 - Define Deployment Topology (Domain/URL Strategy)</t>
        </is>
      </c>
      <c r="H4" s="2" t="inlineStr">
        <is>
          <t>Hours to complete: 1</t>
        </is>
      </c>
      <c r="I4" s="3" t="n">
        <v>157</v>
      </c>
      <c r="J4" s="3">
        <f>HYPERLINK("https://github.com/EduAI-Lab/EduAI/pull/157","#157")</f>
        <v/>
      </c>
      <c r="K4" s="2" t="inlineStr">
        <is>
          <t>Added doc on deployment strategy</t>
        </is>
      </c>
      <c r="L4" s="2" t="inlineStr">
        <is>
          <t>abdullahmoh21</t>
        </is>
      </c>
      <c r="M4" s="2" t="inlineStr">
        <is>
          <t>MERGED</t>
        </is>
      </c>
      <c r="N4" s="3" t="n">
        <v>1</v>
      </c>
      <c r="O4" s="2" t="inlineStr">
        <is>
          <t>#154</t>
        </is>
      </c>
      <c r="P4" s="3" t="n">
        <v>1.07</v>
      </c>
      <c r="Q4" s="3" t="n">
        <v>132.13</v>
      </c>
      <c r="R4" s="3" t="n">
        <v>2</v>
      </c>
      <c r="S4" s="3" t="n">
        <v>4</v>
      </c>
      <c r="T4" s="3" t="n">
        <v>133.2</v>
      </c>
      <c r="U4" s="2" t="inlineStr">
        <is>
          <t>PR analytics artifact + GitHub fallback</t>
        </is>
      </c>
      <c r="V4" s="2" t="inlineStr"/>
      <c r="W4" s="2" t="inlineStr">
        <is>
          <t>No explicit week; assigned to title week; time_to_first_review/time_to_approval from artifact when available; comments/changes/cycle from GitHub</t>
        </is>
      </c>
    </row>
    <row r="5">
      <c r="A5" s="2" t="inlineStr">
        <is>
          <t>May 18-24, 2026</t>
        </is>
      </c>
      <c r="B5" s="2" t="inlineStr">
        <is>
          <t>abdullahmoh21</t>
        </is>
      </c>
      <c r="C5" s="3" t="n">
        <v>3</v>
      </c>
      <c r="D5" s="2" t="inlineStr">
        <is>
          <t>Verified - closing PR found</t>
        </is>
      </c>
      <c r="E5" s="3" t="n">
        <v>181</v>
      </c>
      <c r="F5" s="3">
        <f>HYPERLINK("https://github.com/EduAI-Lab/EduAI/issues/181","#181")</f>
        <v/>
      </c>
      <c r="G5" s="2" t="inlineStr">
        <is>
          <t>S: Week 3 - Create a RBAC permission matrix doc</t>
        </is>
      </c>
      <c r="H5" s="2" t="inlineStr">
        <is>
          <t>Hours to complete: 3</t>
        </is>
      </c>
      <c r="I5" s="3" t="n">
        <v>198</v>
      </c>
      <c r="J5" s="3">
        <f>HYPERLINK("https://github.com/EduAI-Lab/EduAI/pull/198","#198")</f>
        <v/>
      </c>
      <c r="K5" s="2" t="inlineStr">
        <is>
          <t>Added cross-app RBAC permission matrix</t>
        </is>
      </c>
      <c r="L5" s="2" t="inlineStr">
        <is>
          <t>abdullahmoh21</t>
        </is>
      </c>
      <c r="M5" s="2" t="inlineStr">
        <is>
          <t>MERGED</t>
        </is>
      </c>
      <c r="N5" s="3" t="n">
        <v>1</v>
      </c>
      <c r="O5" s="2" t="inlineStr">
        <is>
          <t>#181</t>
        </is>
      </c>
      <c r="P5" s="3" t="n">
        <v>3.25</v>
      </c>
      <c r="Q5" s="3" t="n">
        <v>69.17</v>
      </c>
      <c r="R5" s="3" t="n">
        <v>2</v>
      </c>
      <c r="S5" s="3" t="n">
        <v>3</v>
      </c>
      <c r="T5" s="3" t="n">
        <v>72.44</v>
      </c>
      <c r="U5" s="2" t="inlineStr">
        <is>
          <t>PR analytics artifact + GitHub fallback</t>
        </is>
      </c>
      <c r="V5" s="2" t="inlineStr"/>
      <c r="W5" s="2" t="inlineStr">
        <is>
          <t>No explicit week; assigned to title week; time_to_first_review/time_to_approval from artifact when available; comments/changes/cycle from GitHub</t>
        </is>
      </c>
    </row>
    <row r="6">
      <c r="A6" s="4" t="inlineStr">
        <is>
          <t>May 18-24, 2026</t>
        </is>
      </c>
      <c r="B6" s="4" t="inlineStr">
        <is>
          <t>abdullahmoh21</t>
        </is>
      </c>
      <c r="C6" s="5" t="n">
        <v>2</v>
      </c>
      <c r="D6" s="4" t="inlineStr">
        <is>
          <t>Verified but needs manual review</t>
        </is>
      </c>
      <c r="E6" s="5" t="n">
        <v>231</v>
      </c>
      <c r="F6" s="5">
        <f>HYPERLINK("https://github.com/EduAI-Lab/EduAI/issues/231","#231")</f>
        <v/>
      </c>
      <c r="G6" s="4" t="inlineStr">
        <is>
          <t>S: Week 3 - Implement unified schema</t>
        </is>
      </c>
      <c r="H6" s="4" t="inlineStr">
        <is>
          <t>Hours to complete: 2</t>
        </is>
      </c>
      <c r="I6" s="5" t="n">
        <v>237</v>
      </c>
      <c r="J6" s="5">
        <f>HYPERLINK("https://github.com/EduAI-Lab/EduAI/pull/237","#237")</f>
        <v/>
      </c>
      <c r="K6" s="4" t="inlineStr">
        <is>
          <t>Added unified schema + required api's doc</t>
        </is>
      </c>
      <c r="L6" s="4" t="inlineStr">
        <is>
          <t>abdullahmoh21</t>
        </is>
      </c>
      <c r="M6" s="4" t="inlineStr">
        <is>
          <t>MERGED</t>
        </is>
      </c>
      <c r="N6" s="5" t="n">
        <v>2</v>
      </c>
      <c r="O6" s="4" t="inlineStr">
        <is>
          <t>#231, #239</t>
        </is>
      </c>
      <c r="P6" s="5" t="n">
        <v>25.57</v>
      </c>
      <c r="Q6" s="5" t="n">
        <v>25.58</v>
      </c>
      <c r="R6" s="5" t="n">
        <v>0</v>
      </c>
      <c r="S6" s="5" t="n">
        <v>0</v>
      </c>
      <c r="T6" s="5" t="n">
        <v>29.33</v>
      </c>
      <c r="U6" s="4" t="inlineStr">
        <is>
          <t>PR analytics artifact + GitHub fallback</t>
        </is>
      </c>
      <c r="V6" s="4" t="inlineStr">
        <is>
          <t>YES - PR closes 2 issues</t>
        </is>
      </c>
      <c r="W6" s="4" t="inlineStr">
        <is>
          <t>No explicit week; assigned to title week; time_to_first_review/time_to_approval from artifact when available; comments/changes/cycle from GitHub</t>
        </is>
      </c>
    </row>
    <row r="7">
      <c r="A7" s="4" t="inlineStr">
        <is>
          <t>May 18-24, 2026</t>
        </is>
      </c>
      <c r="B7" s="4" t="inlineStr">
        <is>
          <t>abdullahmoh21</t>
        </is>
      </c>
      <c r="C7" s="5" t="n">
        <v>2</v>
      </c>
      <c r="D7" s="4" t="inlineStr">
        <is>
          <t>Verified but needs manual review</t>
        </is>
      </c>
      <c r="E7" s="5" t="n">
        <v>239</v>
      </c>
      <c r="F7" s="5">
        <f>HYPERLINK("https://github.com/EduAI-Lab/EduAI/issues/239","#239")</f>
        <v/>
      </c>
      <c r="G7" s="4" t="inlineStr">
        <is>
          <t>S: Week 3 - Create API contracts for all new endpoints</t>
        </is>
      </c>
      <c r="H7" s="4" t="inlineStr">
        <is>
          <t>Time to complete: 2</t>
        </is>
      </c>
      <c r="I7" s="5" t="n">
        <v>237</v>
      </c>
      <c r="J7" s="5">
        <f>HYPERLINK("https://github.com/EduAI-Lab/EduAI/pull/237","#237")</f>
        <v/>
      </c>
      <c r="K7" s="4" t="inlineStr">
        <is>
          <t>Added unified schema + required api's doc</t>
        </is>
      </c>
      <c r="L7" s="4" t="inlineStr">
        <is>
          <t>abdullahmoh21</t>
        </is>
      </c>
      <c r="M7" s="4" t="inlineStr">
        <is>
          <t>MERGED</t>
        </is>
      </c>
      <c r="N7" s="5" t="n">
        <v>2</v>
      </c>
      <c r="O7" s="4" t="inlineStr">
        <is>
          <t>#231, #239</t>
        </is>
      </c>
      <c r="P7" s="5" t="n">
        <v>25.57</v>
      </c>
      <c r="Q7" s="5" t="n">
        <v>25.58</v>
      </c>
      <c r="R7" s="5" t="n">
        <v>0</v>
      </c>
      <c r="S7" s="5" t="n">
        <v>0</v>
      </c>
      <c r="T7" s="5" t="n">
        <v>29.33</v>
      </c>
      <c r="U7" s="4" t="inlineStr">
        <is>
          <t>PR analytics artifact + GitHub fallback</t>
        </is>
      </c>
      <c r="V7" s="4" t="inlineStr">
        <is>
          <t>YES - PR closes 2 issues</t>
        </is>
      </c>
      <c r="W7" s="4" t="inlineStr">
        <is>
          <t>No explicit week; assigned to title week; time_to_first_review/time_to_approval from artifact when available; comments/changes/cycle from GitHub</t>
        </is>
      </c>
    </row>
    <row r="8">
      <c r="A8" s="4" t="inlineStr">
        <is>
          <t>May 18-24, 2026</t>
        </is>
      </c>
      <c r="B8" s="4" t="inlineStr">
        <is>
          <t>abdullahmoh21</t>
        </is>
      </c>
      <c r="C8" s="5" t="n">
        <v>3</v>
      </c>
      <c r="D8" s="4" t="inlineStr">
        <is>
          <t>Reported unverified - no closing PR found</t>
        </is>
      </c>
      <c r="E8" s="5" t="n">
        <v>324</v>
      </c>
      <c r="F8" s="5">
        <f>HYPERLINK("https://github.com/EduAI-Lab/EduAI/issues/324","#324")</f>
        <v/>
      </c>
      <c r="G8" s="4" t="inlineStr">
        <is>
          <t>S: Week 3 - Created issues for api-wiring and rbac.</t>
        </is>
      </c>
      <c r="H8" s="4" t="inlineStr">
        <is>
          <t>Time to Complete: 3</t>
        </is>
      </c>
      <c r="I8" s="4" t="inlineStr"/>
      <c r="J8" s="4" t="inlineStr"/>
      <c r="K8" s="4" t="inlineStr"/>
      <c r="L8" s="4" t="inlineStr"/>
      <c r="M8" s="4" t="inlineStr"/>
      <c r="N8" s="5" t="n">
        <v>0</v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>
        <is>
          <t>YES - no closing PR found</t>
        </is>
      </c>
      <c r="W8" s="4" t="inlineStr">
        <is>
          <t>No explicit week; assigned to title week</t>
        </is>
      </c>
    </row>
    <row r="9">
      <c r="A9" s="2" t="inlineStr">
        <is>
          <t>May 18-24, 2026</t>
        </is>
      </c>
      <c r="B9" s="2" t="inlineStr">
        <is>
          <t>ariqmuldi</t>
        </is>
      </c>
      <c r="C9" s="3" t="n">
        <v>1</v>
      </c>
      <c r="D9" s="2" t="inlineStr">
        <is>
          <t>Verified - closing PR found</t>
        </is>
      </c>
      <c r="E9" s="3" t="n">
        <v>288</v>
      </c>
      <c r="F9" s="3">
        <f>HYPERLINK("https://github.com/EduAI-Lab/EduAI/issues/288","#288")</f>
        <v/>
      </c>
      <c r="G9" s="2" t="inlineStr">
        <is>
          <t>S: Week 3 - Add CONVENTIONS.md and make-pr AI slash command</t>
        </is>
      </c>
      <c r="H9" s="2" t="inlineStr">
        <is>
          <t>**Hours to complete (Week 3): 1 hour**</t>
        </is>
      </c>
      <c r="I9" s="3" t="n">
        <v>289</v>
      </c>
      <c r="J9" s="3">
        <f>HYPERLINK("https://github.com/EduAI-Lab/EduAI/pull/289","#289")</f>
        <v/>
      </c>
      <c r="K9" s="2" t="inlineStr">
        <is>
          <t>docs/tooling: Add CONVENTIONS.md and make-pr AI slash command</t>
        </is>
      </c>
      <c r="L9" s="2" t="inlineStr">
        <is>
          <t>ariqmuldi</t>
        </is>
      </c>
      <c r="M9" s="2" t="inlineStr">
        <is>
          <t>MERGED</t>
        </is>
      </c>
      <c r="N9" s="3" t="n">
        <v>1</v>
      </c>
      <c r="O9" s="2" t="inlineStr">
        <is>
          <t>#288</t>
        </is>
      </c>
      <c r="P9" s="3" t="n">
        <v>0.15</v>
      </c>
      <c r="Q9" s="3" t="n">
        <v>5.33</v>
      </c>
      <c r="R9" s="3" t="n">
        <v>1</v>
      </c>
      <c r="S9" s="3" t="n">
        <v>1</v>
      </c>
      <c r="T9" s="3" t="n">
        <v>5.51</v>
      </c>
      <c r="U9" s="2" t="inlineStr">
        <is>
          <t>PR analytics artifact + GitHub fallback</t>
        </is>
      </c>
      <c r="V9" s="2" t="inlineStr"/>
      <c r="W9" s="2" t="inlineStr">
        <is>
          <t>Manual parser accepted explicit hours syntax; time_to_first_review/time_to_approval from artifact when available; comments/changes/cycle from GitHub</t>
        </is>
      </c>
    </row>
    <row r="10">
      <c r="A10" s="2" t="inlineStr">
        <is>
          <t>May 18-24, 2026</t>
        </is>
      </c>
      <c r="B10" s="2" t="inlineStr">
        <is>
          <t>ariqmuldi</t>
        </is>
      </c>
      <c r="C10" s="3" t="n">
        <v>1</v>
      </c>
      <c r="D10" s="2" t="inlineStr">
        <is>
          <t>Verified - closing PR found</t>
        </is>
      </c>
      <c r="E10" s="3" t="n">
        <v>317</v>
      </c>
      <c r="F10" s="3">
        <f>HYPERLINK("https://github.com/EduAI-Lab/EduAI/issues/317","#317")</f>
        <v/>
      </c>
      <c r="G10" s="2" t="inlineStr">
        <is>
          <t>S: Week 3 - Update CONVENTIONS.md and make-pr skill with assignee and week label requirements</t>
        </is>
      </c>
      <c r="H10" s="2" t="inlineStr">
        <is>
          <t>Hours to complete (Week 3): 1 hour</t>
        </is>
      </c>
      <c r="I10" s="3" t="n">
        <v>318</v>
      </c>
      <c r="J10" s="3">
        <f>HYPERLINK("https://github.com/EduAI-Lab/EduAI/pull/318","#318")</f>
        <v/>
      </c>
      <c r="K10" s="2" t="inlineStr">
        <is>
          <t>docs: update CONVENTIONS.md and make-pr skill with issue label, assignee, and test coverage requirements</t>
        </is>
      </c>
      <c r="L10" s="2" t="inlineStr">
        <is>
          <t>ariqmuldi</t>
        </is>
      </c>
      <c r="M10" s="2" t="inlineStr">
        <is>
          <t>MERGED</t>
        </is>
      </c>
      <c r="N10" s="3" t="n">
        <v>1</v>
      </c>
      <c r="O10" s="2" t="inlineStr">
        <is>
          <t>#317</t>
        </is>
      </c>
      <c r="P10" s="3" t="n">
        <v>0.58</v>
      </c>
      <c r="Q10" s="3" t="n">
        <v>0.59</v>
      </c>
      <c r="R10" s="3" t="n">
        <v>0</v>
      </c>
      <c r="S10" s="3" t="n">
        <v>0</v>
      </c>
      <c r="T10" s="3" t="n">
        <v>6.44</v>
      </c>
      <c r="U10" s="2" t="inlineStr">
        <is>
          <t>PR analytics artifact + GitHub fallback</t>
        </is>
      </c>
      <c r="V10" s="2" t="inlineStr"/>
      <c r="W10" s="2" t="inlineStr">
        <is>
          <t>Manual parser accepted explicit hours syntax; time_to_first_review/time_to_approval from artifact when available; comments/changes/cycle from GitHub</t>
        </is>
      </c>
    </row>
    <row r="11">
      <c r="A11" s="4" t="inlineStr">
        <is>
          <t>May 18-24, 2026</t>
        </is>
      </c>
      <c r="B11" s="4" t="inlineStr">
        <is>
          <t>Ayyhab</t>
        </is>
      </c>
      <c r="C11" s="5" t="n">
        <v>2</v>
      </c>
      <c r="D11" s="4" t="inlineStr">
        <is>
          <t>Reported unverified - no closing PR found</t>
        </is>
      </c>
      <c r="E11" s="5" t="n">
        <v>131</v>
      </c>
      <c r="F11" s="5">
        <f>HYPERLINK("https://github.com/EduAI-Lab/EduAI/issues/131","#131")</f>
        <v/>
      </c>
      <c r="G11" s="4" t="inlineStr">
        <is>
          <t>S: Week 2,3 - Coordinate wireframe/UI design with teammates</t>
        </is>
      </c>
      <c r="H11" s="4" t="inlineStr">
        <is>
          <t>Hours to complete (Week 3): 2 [Ahab]</t>
        </is>
      </c>
      <c r="I11" s="4" t="inlineStr"/>
      <c r="J11" s="4" t="inlineStr"/>
      <c r="K11" s="4" t="inlineStr"/>
      <c r="L11" s="4" t="inlineStr"/>
      <c r="M11" s="4" t="inlineStr"/>
      <c r="N11" s="5" t="n">
        <v>0</v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>
        <is>
          <t>YES - no closing PR found</t>
        </is>
      </c>
      <c r="W11" s="4" t="inlineStr">
        <is>
          <t>Manual parser accepted explicit hours syntax</t>
        </is>
      </c>
    </row>
    <row r="12">
      <c r="A12" s="2" t="inlineStr">
        <is>
          <t>May 18-24, 2026</t>
        </is>
      </c>
      <c r="B12" s="2" t="inlineStr">
        <is>
          <t>Ayyhab</t>
        </is>
      </c>
      <c r="C12" s="3" t="n">
        <v>2</v>
      </c>
      <c r="D12" s="2" t="inlineStr">
        <is>
          <t>Verified - closing PR found</t>
        </is>
      </c>
      <c r="E12" s="3" t="n">
        <v>151</v>
      </c>
      <c r="F12" s="3">
        <f>HYPERLINK("https://github.com/EduAI-Lab/EduAI/issues/151","#151")</f>
        <v/>
      </c>
      <c r="G12" s="2" t="inlineStr">
        <is>
          <t>S: Week 3 - ADHD Assist user-facing toggle in chat</t>
        </is>
      </c>
      <c r="H12" s="2" t="inlineStr">
        <is>
          <t>Hours:2</t>
        </is>
      </c>
      <c r="I12" s="3" t="n">
        <v>233</v>
      </c>
      <c r="J12" s="3">
        <f>HYPERLINK("https://github.com/EduAI-Lab/EduAI/pull/233","#233")</f>
        <v/>
      </c>
      <c r="K12" s="2" t="inlineStr">
        <is>
          <t>feat(core): ADHD Assist toggle plumbing (Phase 1)</t>
        </is>
      </c>
      <c r="L12" s="2" t="inlineStr">
        <is>
          <t>Ayyhab</t>
        </is>
      </c>
      <c r="M12" s="2" t="inlineStr">
        <is>
          <t>MERGED</t>
        </is>
      </c>
      <c r="N12" s="3" t="n">
        <v>1</v>
      </c>
      <c r="O12" s="2" t="inlineStr">
        <is>
          <t>#151</t>
        </is>
      </c>
      <c r="P12" s="3" t="n">
        <v>0.68</v>
      </c>
      <c r="Q12" s="3" t="n">
        <v>51.63</v>
      </c>
      <c r="R12" s="3" t="n">
        <v>1</v>
      </c>
      <c r="S12" s="3" t="n">
        <v>1</v>
      </c>
      <c r="T12" s="3" t="n">
        <v>52.32</v>
      </c>
      <c r="U12" s="2" t="inlineStr">
        <is>
          <t>PR analytics artifact + GitHub fallback</t>
        </is>
      </c>
      <c r="V12" s="2" t="inlineStr"/>
      <c r="W12" s="2" t="inlineStr">
        <is>
          <t>No explicit week; assigned to title week; time_to_first_review/time_to_approval from artifact when available; comments/changes/cycle from GitHub</t>
        </is>
      </c>
    </row>
    <row r="13">
      <c r="A13" s="4" t="inlineStr">
        <is>
          <t>May 18-24, 2026</t>
        </is>
      </c>
      <c r="B13" s="4" t="inlineStr">
        <is>
          <t>Ayyhab</t>
        </is>
      </c>
      <c r="C13" s="5" t="n">
        <v>3</v>
      </c>
      <c r="D13" s="4" t="inlineStr">
        <is>
          <t>Reported unverified - no closing PR found</t>
        </is>
      </c>
      <c r="E13" s="5" t="n">
        <v>325</v>
      </c>
      <c r="F13" s="5">
        <f>HYPERLINK("https://github.com/EduAI-Lab/EduAI/issues/325","#325")</f>
        <v/>
      </c>
      <c r="G13" s="4" t="inlineStr">
        <is>
          <t>S: week 3 chore(ahab): log hours for #203 - ADHD Assist toggle plumbing (Phase 1)</t>
        </is>
      </c>
      <c r="H13" s="4" t="inlineStr">
        <is>
          <t>**Total: 3h**</t>
        </is>
      </c>
      <c r="I13" s="4" t="inlineStr"/>
      <c r="J13" s="4" t="inlineStr"/>
      <c r="K13" s="4" t="inlineStr"/>
      <c r="L13" s="4" t="inlineStr"/>
      <c r="M13" s="4" t="inlineStr"/>
      <c r="N13" s="5" t="n">
        <v>0</v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YES - no closing PR found</t>
        </is>
      </c>
      <c r="W13" s="4" t="inlineStr">
        <is>
          <t>Manual parser accepted total-hours table; assigned to title week</t>
        </is>
      </c>
    </row>
    <row r="14">
      <c r="A14" s="4" t="inlineStr">
        <is>
          <t>May 18-24, 2026</t>
        </is>
      </c>
      <c r="B14" s="4" t="inlineStr">
        <is>
          <t>ebabar5</t>
        </is>
      </c>
      <c r="C14" s="5" t="n">
        <v>1</v>
      </c>
      <c r="D14" s="4" t="inlineStr">
        <is>
          <t>Reported unverified - no closing PR found</t>
        </is>
      </c>
      <c r="E14" s="5" t="n">
        <v>131</v>
      </c>
      <c r="F14" s="5">
        <f>HYPERLINK("https://github.com/EduAI-Lab/EduAI/issues/131","#131")</f>
        <v/>
      </c>
      <c r="G14" s="4" t="inlineStr">
        <is>
          <t>S: Week 2,3 - Coordinate wireframe/UI design with teammates</t>
        </is>
      </c>
      <c r="H14" s="4" t="inlineStr">
        <is>
          <t>Hours to complete (Week 3):1  [Ehsan]</t>
        </is>
      </c>
      <c r="I14" s="4" t="inlineStr"/>
      <c r="J14" s="4" t="inlineStr"/>
      <c r="K14" s="4" t="inlineStr"/>
      <c r="L14" s="4" t="inlineStr"/>
      <c r="M14" s="4" t="inlineStr"/>
      <c r="N14" s="5" t="n">
        <v>0</v>
      </c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>
        <is>
          <t>YES - no closing PR found</t>
        </is>
      </c>
      <c r="W14" s="4" t="inlineStr">
        <is>
          <t>Manual parser accepted explicit hours syntax</t>
        </is>
      </c>
    </row>
    <row r="15">
      <c r="A15" s="2" t="inlineStr">
        <is>
          <t>May 18-24, 2026</t>
        </is>
      </c>
      <c r="B15" s="2" t="inlineStr">
        <is>
          <t>ebabar5</t>
        </is>
      </c>
      <c r="C15" s="3" t="n">
        <v>4.5</v>
      </c>
      <c r="D15" s="2" t="inlineStr">
        <is>
          <t>Verified - closing PR found</t>
        </is>
      </c>
      <c r="E15" s="3" t="n">
        <v>206</v>
      </c>
      <c r="F15" s="3">
        <f>HYPERLINK("https://github.com/EduAI-Lab/EduAI/issues/206","#206")</f>
        <v/>
      </c>
      <c r="G15" s="2" t="inlineStr">
        <is>
          <t>M: Week 3,4 - L02 Baseline latency matrix (cloud + dev-server local model)</t>
        </is>
      </c>
      <c r="H15" s="2" t="inlineStr">
        <is>
          <t>Ehsan hours: 4-5</t>
        </is>
      </c>
      <c r="I15" s="3" t="n">
        <v>332</v>
      </c>
      <c r="J15" s="3">
        <f>HYPERLINK("https://github.com/EduAI-Lab/EduAI/pull/332","#332")</f>
        <v/>
      </c>
      <c r="K15" s="2" t="inlineStr">
        <is>
          <t>docs: L02 chat latency baselines (#206)</t>
        </is>
      </c>
      <c r="L15" s="2" t="inlineStr">
        <is>
          <t>ebabar5</t>
        </is>
      </c>
      <c r="M15" s="2" t="inlineStr">
        <is>
          <t>CLOSED</t>
        </is>
      </c>
      <c r="N15" s="3" t="n">
        <v>1</v>
      </c>
      <c r="O15" s="2" t="inlineStr">
        <is>
          <t>#206</t>
        </is>
      </c>
      <c r="P15" s="3" t="n">
        <v>31.13</v>
      </c>
      <c r="Q15" s="2" t="inlineStr"/>
      <c r="R15" s="3" t="n">
        <v>3</v>
      </c>
      <c r="S15" s="3" t="n">
        <v>4</v>
      </c>
      <c r="T15" s="3" t="n">
        <v>235.79</v>
      </c>
      <c r="U15" s="2" t="inlineStr">
        <is>
          <t>GitHub CLI fallback</t>
        </is>
      </c>
      <c r="V15" s="2" t="inlineStr"/>
      <c r="W15" s="2" t="inlineStr">
        <is>
          <t>manual range averaged from 4-5; No explicit week; assigned to earliest title week 3</t>
        </is>
      </c>
    </row>
    <row r="16">
      <c r="A16" s="2" t="inlineStr">
        <is>
          <t>May 18-24, 2026</t>
        </is>
      </c>
      <c r="B16" s="2" t="inlineStr">
        <is>
          <t>evanbones</t>
        </is>
      </c>
      <c r="C16" s="3" t="n">
        <v>3</v>
      </c>
      <c r="D16" s="2" t="inlineStr">
        <is>
          <t>Verified - closing PR found</t>
        </is>
      </c>
      <c r="E16" s="3" t="n">
        <v>84</v>
      </c>
      <c r="F16" s="3">
        <f>HYPERLINK("https://github.com/EduAI-Lab/EduAI/issues/84","#84")</f>
        <v/>
      </c>
      <c r="G16" s="2" t="inlineStr">
        <is>
          <t>S: Week 2,3 - GitHub Workflows and Automated Testing</t>
        </is>
      </c>
      <c r="H16" s="2" t="inlineStr">
        <is>
          <t>Hours: 3</t>
        </is>
      </c>
      <c r="I16" s="3" t="n">
        <v>236</v>
      </c>
      <c r="J16" s="3">
        <f>HYPERLINK("https://github.com/EduAI-Lab/EduAI/pull/236","#236")</f>
        <v/>
      </c>
      <c r="K16" s="2" t="inlineStr">
        <is>
          <t>feat: Basic CI workflow, update dev scripts to cleanup stale DBs</t>
        </is>
      </c>
      <c r="L16" s="2" t="inlineStr">
        <is>
          <t>evanbones</t>
        </is>
      </c>
      <c r="M16" s="2" t="inlineStr">
        <is>
          <t>MERGED</t>
        </is>
      </c>
      <c r="N16" s="3" t="n">
        <v>1</v>
      </c>
      <c r="O16" s="2" t="inlineStr">
        <is>
          <t>#84</t>
        </is>
      </c>
      <c r="P16" s="3" t="n">
        <v>1.88</v>
      </c>
      <c r="Q16" s="3" t="n">
        <v>24.13</v>
      </c>
      <c r="R16" s="3" t="n">
        <v>0</v>
      </c>
      <c r="S16" s="3" t="n">
        <v>3</v>
      </c>
      <c r="T16" s="3" t="n">
        <v>26.07</v>
      </c>
      <c r="U16" s="2" t="inlineStr">
        <is>
          <t>PR analytics artifact + GitHub fallback</t>
        </is>
      </c>
      <c r="V16" s="2" t="inlineStr"/>
      <c r="W16" s="2" t="inlineStr">
        <is>
          <t>No explicit week; assigned to title week; time_to_first_review/time_to_approval from artifact when available; comments/changes/cycle from GitHub</t>
        </is>
      </c>
    </row>
    <row r="17">
      <c r="A17" s="4" t="inlineStr">
        <is>
          <t>May 18-24, 2026</t>
        </is>
      </c>
      <c r="B17" s="4" t="inlineStr">
        <is>
          <t>evanbones</t>
        </is>
      </c>
      <c r="C17" s="5" t="n">
        <v>2</v>
      </c>
      <c r="D17" s="4" t="inlineStr">
        <is>
          <t>Reported unverified - no closing PR found</t>
        </is>
      </c>
      <c r="E17" s="5" t="n">
        <v>123</v>
      </c>
      <c r="F17" s="5">
        <f>HYPERLINK("https://github.com/EduAI-Lab/EduAI/issues/123","#123")</f>
        <v/>
      </c>
      <c r="G17" s="4" t="inlineStr">
        <is>
          <t>S: Week 2, 3 - Consolidate + fix all tests into monorepo root</t>
        </is>
      </c>
      <c r="H17" s="4" t="inlineStr">
        <is>
          <t>Week 3 Hours [Evan]: 2</t>
        </is>
      </c>
      <c r="I17" s="4" t="inlineStr"/>
      <c r="J17" s="4" t="inlineStr"/>
      <c r="K17" s="4" t="inlineStr"/>
      <c r="L17" s="4" t="inlineStr"/>
      <c r="M17" s="4" t="inlineStr"/>
      <c r="N17" s="5" t="n">
        <v>0</v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>
        <is>
          <t>YES - no closing PR found</t>
        </is>
      </c>
      <c r="W17" s="4" t="inlineStr">
        <is>
          <t>Manual parser accepted weekhours hours syntax</t>
        </is>
      </c>
    </row>
    <row r="18">
      <c r="A18" s="2" t="inlineStr">
        <is>
          <t>May 18-24, 2026</t>
        </is>
      </c>
      <c r="B18" s="2" t="inlineStr">
        <is>
          <t>evanbones</t>
        </is>
      </c>
      <c r="C18" s="3" t="n">
        <v>1</v>
      </c>
      <c r="D18" s="2" t="inlineStr">
        <is>
          <t>Verified - closing PR found</t>
        </is>
      </c>
      <c r="E18" s="3" t="n">
        <v>141</v>
      </c>
      <c r="F18" s="3">
        <f>HYPERLINK("https://github.com/EduAI-Lab/EduAI/issues/141","#141")</f>
        <v/>
      </c>
      <c r="G18" s="2" t="inlineStr">
        <is>
          <t>S: Week 3 - Docs:Remove in How to Run Tests in TESTS.md</t>
        </is>
      </c>
      <c r="H18" s="2" t="inlineStr">
        <is>
          <t>Week 3 Hours: 1 [Evan]</t>
        </is>
      </c>
      <c r="I18" s="3" t="n">
        <v>329</v>
      </c>
      <c r="J18" s="3">
        <f>HYPERLINK("https://github.com/EduAI-Lab/EduAI/pull/329","#329")</f>
        <v/>
      </c>
      <c r="K18" s="2" t="inlineStr">
        <is>
          <t>docs: updates and fixes</t>
        </is>
      </c>
      <c r="L18" s="2" t="inlineStr">
        <is>
          <t>evanbones</t>
        </is>
      </c>
      <c r="M18" s="2" t="inlineStr">
        <is>
          <t>MERGED</t>
        </is>
      </c>
      <c r="N18" s="3" t="n">
        <v>1</v>
      </c>
      <c r="O18" s="2" t="inlineStr">
        <is>
          <t>#141</t>
        </is>
      </c>
      <c r="P18" s="3" t="n">
        <v>0.35</v>
      </c>
      <c r="Q18" s="3" t="n">
        <v>0.35</v>
      </c>
      <c r="R18" s="3" t="n">
        <v>0</v>
      </c>
      <c r="S18" s="3" t="n">
        <v>0</v>
      </c>
      <c r="T18" s="3" t="n">
        <v>0.37</v>
      </c>
      <c r="U18" s="2" t="inlineStr">
        <is>
          <t>PR analytics artifact + GitHub fallback</t>
        </is>
      </c>
      <c r="V18" s="2" t="inlineStr"/>
      <c r="W18" s="2" t="inlineStr">
        <is>
          <t>Manual parser accepted weekhours hours syntax; time_to_first_review/time_to_approval from artifact when available; comments/changes/cycle from GitHub</t>
        </is>
      </c>
    </row>
    <row r="19">
      <c r="A19" s="2" t="inlineStr">
        <is>
          <t>May 18-24, 2026</t>
        </is>
      </c>
      <c r="B19" s="2" t="inlineStr">
        <is>
          <t>GlowyBlack</t>
        </is>
      </c>
      <c r="C19" s="3" t="n">
        <v>1</v>
      </c>
      <c r="D19" s="2" t="inlineStr">
        <is>
          <t>Verified - closing PR found</t>
        </is>
      </c>
      <c r="E19" s="3" t="n">
        <v>85</v>
      </c>
      <c r="F19" s="3">
        <f>HYPERLINK("https://github.com/EduAI-Lab/EduAI/issues/85","#85")</f>
        <v/>
      </c>
      <c r="G19" s="2" t="inlineStr">
        <is>
          <t>S: Week 3 - Unit Testing for the Whole of Core</t>
        </is>
      </c>
      <c r="H19" s="2" t="inlineStr">
        <is>
          <t>Hours to Complete (Week 3):  1 [Al-Ameen]</t>
        </is>
      </c>
      <c r="I19" s="3" t="n">
        <v>271</v>
      </c>
      <c r="J19" s="3">
        <f>HYPERLINK("https://github.com/EduAI-Lab/EduAI/pull/271","#271")</f>
        <v/>
      </c>
      <c r="K19" s="2" t="inlineStr">
        <is>
          <t>test(core): implement planned unit tests for apps/core</t>
        </is>
      </c>
      <c r="L19" s="2" t="inlineStr">
        <is>
          <t>GlowyBlack</t>
        </is>
      </c>
      <c r="M19" s="2" t="inlineStr">
        <is>
          <t>MERGED</t>
        </is>
      </c>
      <c r="N19" s="3" t="n">
        <v>1</v>
      </c>
      <c r="O19" s="2" t="inlineStr">
        <is>
          <t>#85</t>
        </is>
      </c>
      <c r="P19" s="3" t="n">
        <v>6.53</v>
      </c>
      <c r="Q19" s="3" t="n">
        <v>3.23</v>
      </c>
      <c r="R19" s="3" t="n">
        <v>0</v>
      </c>
      <c r="S19" s="3" t="n">
        <v>1</v>
      </c>
      <c r="T19" s="3" t="n">
        <v>10.54</v>
      </c>
      <c r="U19" s="2" t="inlineStr">
        <is>
          <t>PR analytics artifact + GitHub fallback</t>
        </is>
      </c>
      <c r="V19" s="2" t="inlineStr"/>
      <c r="W19" s="2" t="inlineStr">
        <is>
          <t>Manual parser accepted explicit hours syntax; time_to_first_review/time_to_approval from artifact when available; comments/changes/cycle from GitHub</t>
        </is>
      </c>
    </row>
    <row r="20">
      <c r="A20" s="4" t="inlineStr">
        <is>
          <t>May 18-24, 2026</t>
        </is>
      </c>
      <c r="B20" s="4" t="inlineStr">
        <is>
          <t>GlowyBlack</t>
        </is>
      </c>
      <c r="C20" s="5" t="n">
        <v>2</v>
      </c>
      <c r="D20" s="4" t="inlineStr">
        <is>
          <t>Reported unverified - no closing PR found</t>
        </is>
      </c>
      <c r="E20" s="5" t="n">
        <v>102</v>
      </c>
      <c r="F20" s="5">
        <f>HYPERLINK("https://github.com/EduAI-Lab/EduAI/issues/102","#102")</f>
        <v/>
      </c>
      <c r="G20" s="4" t="inlineStr">
        <is>
          <t>L: Week 2,3 - Initial (Pre RBAC) Develop Figma Wireframes for Future Unified Design</t>
        </is>
      </c>
      <c r="H20" s="4" t="inlineStr">
        <is>
          <t>Hours to complete (Week 3) [Al-Ameen]: 2 hours</t>
        </is>
      </c>
      <c r="I20" s="4" t="inlineStr"/>
      <c r="J20" s="4" t="inlineStr"/>
      <c r="K20" s="4" t="inlineStr"/>
      <c r="L20" s="4" t="inlineStr"/>
      <c r="M20" s="4" t="inlineStr"/>
      <c r="N20" s="5" t="n">
        <v>0</v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>
        <is>
          <t>YES - no closing PR found</t>
        </is>
      </c>
      <c r="W20" s="4" t="inlineStr">
        <is>
          <t>Manual parser accepted explicit hours syntax</t>
        </is>
      </c>
    </row>
    <row r="21">
      <c r="A21" s="4" t="inlineStr">
        <is>
          <t>May 18-24, 2026</t>
        </is>
      </c>
      <c r="B21" s="4" t="inlineStr">
        <is>
          <t>GlowyBlack</t>
        </is>
      </c>
      <c r="C21" s="5" t="n">
        <v>2</v>
      </c>
      <c r="D21" s="4" t="inlineStr">
        <is>
          <t>Reported unverified - no closing PR found</t>
        </is>
      </c>
      <c r="E21" s="5" t="n">
        <v>131</v>
      </c>
      <c r="F21" s="5">
        <f>HYPERLINK("https://github.com/EduAI-Lab/EduAI/issues/131","#131")</f>
        <v/>
      </c>
      <c r="G21" s="4" t="inlineStr">
        <is>
          <t>S: Week 2,3 - Coordinate wireframe/UI design with teammates</t>
        </is>
      </c>
      <c r="H21" s="4" t="inlineStr">
        <is>
          <t>Hours to complete (Week 3): 2 [AbdulHaqq]</t>
        </is>
      </c>
      <c r="I21" s="4" t="inlineStr"/>
      <c r="J21" s="4" t="inlineStr"/>
      <c r="K21" s="4" t="inlineStr"/>
      <c r="L21" s="4" t="inlineStr"/>
      <c r="M21" s="4" t="inlineStr"/>
      <c r="N21" s="5" t="n">
        <v>0</v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>
        <is>
          <t>YES - no closing PR found</t>
        </is>
      </c>
      <c r="W21" s="4" t="inlineStr">
        <is>
          <t>Manual parser accepted explicit hours syntax</t>
        </is>
      </c>
    </row>
    <row r="22">
      <c r="A22" s="2" t="inlineStr">
        <is>
          <t>May 18-24, 2026</t>
        </is>
      </c>
      <c r="B22" s="2" t="inlineStr">
        <is>
          <t>GlowyBlack</t>
        </is>
      </c>
      <c r="C22" s="3" t="n">
        <v>2.5</v>
      </c>
      <c r="D22" s="2" t="inlineStr">
        <is>
          <t>Verified - closing PR found</t>
        </is>
      </c>
      <c r="E22" s="3" t="n">
        <v>200</v>
      </c>
      <c r="F22" s="3">
        <f>HYPERLINK("https://github.com/EduAI-Lab/EduAI/issues/200","#200")</f>
        <v/>
      </c>
      <c r="G22" s="2" t="inlineStr">
        <is>
          <t>S: Week 3 - Making sure that AI-Tutor test folder structure matches TESTS.md</t>
        </is>
      </c>
      <c r="H22" s="2" t="inlineStr">
        <is>
          <t>Hours to complete: 2.5</t>
        </is>
      </c>
      <c r="I22" s="3" t="n">
        <v>199</v>
      </c>
      <c r="J22" s="3">
        <f>HYPERLINK("https://github.com/EduAI-Lab/EduAI/pull/199","#199")</f>
        <v/>
      </c>
      <c r="K22" s="2" t="inlineStr">
        <is>
          <t>Fixed ai-tutor test structure and populated TESTS.md</t>
        </is>
      </c>
      <c r="L22" s="2" t="inlineStr">
        <is>
          <t>GlowyBlack</t>
        </is>
      </c>
      <c r="M22" s="2" t="inlineStr">
        <is>
          <t>MERGED</t>
        </is>
      </c>
      <c r="N22" s="3" t="n">
        <v>1</v>
      </c>
      <c r="O22" s="2" t="inlineStr">
        <is>
          <t>#200</t>
        </is>
      </c>
      <c r="P22" s="3" t="n">
        <v>2.3</v>
      </c>
      <c r="Q22" s="3" t="n">
        <v>42.63</v>
      </c>
      <c r="R22" s="3" t="n">
        <v>0</v>
      </c>
      <c r="S22" s="3" t="n">
        <v>2</v>
      </c>
      <c r="T22" s="3" t="n">
        <v>45.2</v>
      </c>
      <c r="U22" s="2" t="inlineStr">
        <is>
          <t>PR analytics artifact + GitHub fallback</t>
        </is>
      </c>
      <c r="V22" s="2" t="inlineStr"/>
      <c r="W22" s="2" t="inlineStr">
        <is>
          <t>No explicit week; assigned to title week; time_to_first_review/time_to_approval from artifact when available; comments/changes/cycle from GitHub</t>
        </is>
      </c>
    </row>
    <row r="23">
      <c r="A23" s="4" t="inlineStr">
        <is>
          <t>May 18-24, 2026</t>
        </is>
      </c>
      <c r="B23" s="4" t="inlineStr">
        <is>
          <t>GlowyBlack</t>
        </is>
      </c>
      <c r="C23" s="5" t="n">
        <v>1.5</v>
      </c>
      <c r="D23" s="4" t="inlineStr">
        <is>
          <t>Reported unverified - no closing PR found</t>
        </is>
      </c>
      <c r="E23" s="5" t="n">
        <v>204</v>
      </c>
      <c r="F23" s="5">
        <f>HYPERLINK("https://github.com/EduAI-Lab/EduAI/issues/204","#204")</f>
        <v/>
      </c>
      <c r="G23" s="4" t="inlineStr">
        <is>
          <t>S: Week 3 - L00 Kickoff &amp; branch (chat latency sprint)</t>
        </is>
      </c>
      <c r="H23" s="4" t="inlineStr">
        <is>
          <t>Hours to complete (Week 3) [Al-Ameen]: 1.5 hours</t>
        </is>
      </c>
      <c r="I23" s="4" t="inlineStr"/>
      <c r="J23" s="4" t="inlineStr"/>
      <c r="K23" s="4" t="inlineStr"/>
      <c r="L23" s="4" t="inlineStr"/>
      <c r="M23" s="4" t="inlineStr"/>
      <c r="N23" s="5" t="n">
        <v>0</v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>
        <is>
          <t>YES - no closing PR found</t>
        </is>
      </c>
      <c r="W23" s="4" t="inlineStr">
        <is>
          <t>Manual parser accepted explicit hours syntax</t>
        </is>
      </c>
    </row>
    <row r="24">
      <c r="A24" s="4" t="inlineStr">
        <is>
          <t>May 18-24, 2026</t>
        </is>
      </c>
      <c r="B24" s="4" t="inlineStr">
        <is>
          <t>GlowyBlack</t>
        </is>
      </c>
      <c r="C24" s="5" t="n">
        <v>0.5</v>
      </c>
      <c r="D24" s="4" t="inlineStr">
        <is>
          <t>Reported unverified - no closing PR found</t>
        </is>
      </c>
      <c r="E24" s="5" t="n">
        <v>205</v>
      </c>
      <c r="F24" s="5">
        <f>HYPERLINK("https://github.com/EduAI-Lab/EduAI/issues/205","#205")</f>
        <v/>
      </c>
      <c r="G24" s="4" t="inlineStr">
        <is>
          <t>M: Week 3 - L01 Restore chat latency benchmark script</t>
        </is>
      </c>
      <c r="H24" s="4" t="inlineStr">
        <is>
          <t>Hours to complete (Week 3) [Al-Ameen]: 0.5 hours</t>
        </is>
      </c>
      <c r="I24" s="4" t="inlineStr"/>
      <c r="J24" s="4" t="inlineStr"/>
      <c r="K24" s="4" t="inlineStr"/>
      <c r="L24" s="4" t="inlineStr"/>
      <c r="M24" s="4" t="inlineStr"/>
      <c r="N24" s="5" t="n">
        <v>0</v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>
        <is>
          <t>YES - no closing PR found</t>
        </is>
      </c>
      <c r="W24" s="4" t="inlineStr">
        <is>
          <t>Manual parser accepted explicit hours syntax</t>
        </is>
      </c>
    </row>
    <row r="25">
      <c r="A25" s="2" t="inlineStr">
        <is>
          <t>May 18-24, 2026</t>
        </is>
      </c>
      <c r="B25" s="2" t="inlineStr">
        <is>
          <t>GlowyBlack</t>
        </is>
      </c>
      <c r="C25" s="3" t="n">
        <v>3.5</v>
      </c>
      <c r="D25" s="2" t="inlineStr">
        <is>
          <t>Verified - closing PR found</t>
        </is>
      </c>
      <c r="E25" s="3" t="n">
        <v>277</v>
      </c>
      <c r="F25" s="3">
        <f>HYPERLINK("https://github.com/EduAI-Lab/EduAI/issues/277","#277")</f>
        <v/>
      </c>
      <c r="G25" s="2" t="inlineStr">
        <is>
          <t>M: Week 4 - Core: course read endpoints (fix GET /:id loader, add GET /:id/topics/:topicId, dual-auth existing topic routes)</t>
        </is>
      </c>
      <c r="H25" s="2" t="inlineStr">
        <is>
          <t>Hours to Complete (Week 3): 3.5</t>
        </is>
      </c>
      <c r="I25" s="3" t="n">
        <v>338</v>
      </c>
      <c r="J25" s="3">
        <f>HYPERLINK("https://github.com/EduAI-Lab/EduAI/pull/338","#338")</f>
        <v/>
      </c>
      <c r="K25" s="2" t="inlineStr">
        <is>
          <t>Feat/platform-centralization-phase-0</t>
        </is>
      </c>
      <c r="L25" s="2" t="inlineStr">
        <is>
          <t>GlowyBlack</t>
        </is>
      </c>
      <c r="M25" s="2" t="inlineStr">
        <is>
          <t>MERGED</t>
        </is>
      </c>
      <c r="N25" s="3" t="n">
        <v>1</v>
      </c>
      <c r="O25" s="2" t="inlineStr">
        <is>
          <t>#277</t>
        </is>
      </c>
      <c r="P25" s="3" t="n">
        <v>10.86</v>
      </c>
      <c r="Q25" s="3" t="n">
        <v>60.31</v>
      </c>
      <c r="R25" s="3" t="n">
        <v>9</v>
      </c>
      <c r="S25" s="3" t="n">
        <v>2</v>
      </c>
      <c r="T25" s="3" t="n">
        <v>85.7</v>
      </c>
      <c r="U25" s="2" t="inlineStr">
        <is>
          <t>GitHub CLI fallback</t>
        </is>
      </c>
      <c r="V25" s="2" t="inlineStr"/>
      <c r="W25" s="2" t="inlineStr">
        <is>
          <t>Manual parser accepted explicit hours syntax</t>
        </is>
      </c>
    </row>
    <row r="26">
      <c r="A26" s="4" t="inlineStr">
        <is>
          <t>May 18-24, 2026</t>
        </is>
      </c>
      <c r="B26" s="4" t="inlineStr">
        <is>
          <t>GlowyBlack</t>
        </is>
      </c>
      <c r="C26" s="5" t="n">
        <v>2</v>
      </c>
      <c r="D26" s="4" t="inlineStr">
        <is>
          <t>Reported unverified - no closing PR found</t>
        </is>
      </c>
      <c r="E26" s="5" t="n">
        <v>322</v>
      </c>
      <c r="F26" s="5">
        <f>HYPERLINK("https://github.com/EduAI-Lab/EduAI/issues/322","#322")</f>
        <v/>
      </c>
      <c r="G26" s="4" t="inlineStr">
        <is>
          <t>S: Week 3 - Completing ARA Excel Sheet</t>
        </is>
      </c>
      <c r="H26" s="4" t="inlineStr">
        <is>
          <t>Hours to Complete: 2</t>
        </is>
      </c>
      <c r="I26" s="4" t="inlineStr"/>
      <c r="J26" s="4" t="inlineStr"/>
      <c r="K26" s="4" t="inlineStr"/>
      <c r="L26" s="4" t="inlineStr"/>
      <c r="M26" s="4" t="inlineStr"/>
      <c r="N26" s="5" t="n">
        <v>0</v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>
        <is>
          <t>YES - no closing PR found</t>
        </is>
      </c>
      <c r="W26" s="4" t="inlineStr">
        <is>
          <t>No explicit week; assigned to title week</t>
        </is>
      </c>
    </row>
    <row r="27">
      <c r="A27" s="4" t="inlineStr">
        <is>
          <t>May 18-24, 2026</t>
        </is>
      </c>
      <c r="B27" s="4" t="inlineStr">
        <is>
          <t>KitheK</t>
        </is>
      </c>
      <c r="C27" s="5" t="n">
        <v>2</v>
      </c>
      <c r="D27" s="4" t="inlineStr">
        <is>
          <t>Reported unverified - no closing PR found</t>
        </is>
      </c>
      <c r="E27" s="5" t="n">
        <v>131</v>
      </c>
      <c r="F27" s="5">
        <f>HYPERLINK("https://github.com/EduAI-Lab/EduAI/issues/131","#131")</f>
        <v/>
      </c>
      <c r="G27" s="4" t="inlineStr">
        <is>
          <t>S: Week 2,3 - Coordinate wireframe/UI design with teammates</t>
        </is>
      </c>
      <c r="H27" s="4" t="inlineStr">
        <is>
          <t>Hours to complete (Week 3): 2 [Kithe]</t>
        </is>
      </c>
      <c r="I27" s="4" t="inlineStr"/>
      <c r="J27" s="4" t="inlineStr"/>
      <c r="K27" s="4" t="inlineStr"/>
      <c r="L27" s="4" t="inlineStr"/>
      <c r="M27" s="4" t="inlineStr"/>
      <c r="N27" s="5" t="n">
        <v>0</v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>
        <is>
          <t>YES - no closing PR found</t>
        </is>
      </c>
      <c r="W27" s="4" t="inlineStr">
        <is>
          <t>Manual parser accepted explicit hours syntax</t>
        </is>
      </c>
    </row>
    <row r="28">
      <c r="A28" s="4" t="inlineStr">
        <is>
          <t>May 18-24, 2026</t>
        </is>
      </c>
      <c r="B28" s="4" t="inlineStr">
        <is>
          <t>KitheK</t>
        </is>
      </c>
      <c r="C28" s="5" t="n">
        <v>2.5</v>
      </c>
      <c r="D28" s="4" t="inlineStr">
        <is>
          <t>Reported unverified - no closing PR found</t>
        </is>
      </c>
      <c r="E28" s="5" t="n">
        <v>204</v>
      </c>
      <c r="F28" s="5">
        <f>HYPERLINK("https://github.com/EduAI-Lab/EduAI/issues/204","#204")</f>
        <v/>
      </c>
      <c r="G28" s="4" t="inlineStr">
        <is>
          <t>S: Week 3 - L00 Kickoff &amp; branch (chat latency sprint)</t>
        </is>
      </c>
      <c r="H28" s="4" t="inlineStr">
        <is>
          <t>Hours to complete (Week 3) [Kithe]: 2.5 hours</t>
        </is>
      </c>
      <c r="I28" s="4" t="inlineStr"/>
      <c r="J28" s="4" t="inlineStr"/>
      <c r="K28" s="4" t="inlineStr"/>
      <c r="L28" s="4" t="inlineStr"/>
      <c r="M28" s="4" t="inlineStr"/>
      <c r="N28" s="5" t="n">
        <v>0</v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>
        <is>
          <t>YES - no closing PR found</t>
        </is>
      </c>
      <c r="W28" s="4" t="inlineStr">
        <is>
          <t>Manual parser accepted explicit hours syntax</t>
        </is>
      </c>
    </row>
    <row r="29">
      <c r="A29" s="4" t="inlineStr">
        <is>
          <t>May 18-24, 2026</t>
        </is>
      </c>
      <c r="B29" s="4" t="inlineStr">
        <is>
          <t>superbolt08</t>
        </is>
      </c>
      <c r="C29" s="5" t="n">
        <v>3</v>
      </c>
      <c r="D29" s="4" t="inlineStr">
        <is>
          <t>Reported unverified - no closing PR found</t>
        </is>
      </c>
      <c r="E29" s="5" t="n">
        <v>161</v>
      </c>
      <c r="F29" s="5">
        <f>HYPERLINK("https://github.com/EduAI-Lab/EduAI/issues/161","#161")</f>
        <v/>
      </c>
      <c r="G29" s="4" t="inlineStr">
        <is>
          <t>S Week 3: Deploy my.eduai.ok.ubc.ca</t>
        </is>
      </c>
      <c r="H29" s="4" t="inlineStr">
        <is>
          <t>Hours to complete: 3</t>
        </is>
      </c>
      <c r="I29" s="4" t="inlineStr"/>
      <c r="J29" s="4" t="inlineStr"/>
      <c r="K29" s="4" t="inlineStr"/>
      <c r="L29" s="4" t="inlineStr"/>
      <c r="M29" s="4" t="inlineStr"/>
      <c r="N29" s="5" t="n">
        <v>0</v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>
        <is>
          <t>YES - no closing PR found</t>
        </is>
      </c>
      <c r="W29" s="4" t="inlineStr">
        <is>
          <t>No explicit week; assigned to title week</t>
        </is>
      </c>
    </row>
    <row r="30">
      <c r="A30" s="4" t="inlineStr">
        <is>
          <t>May 18-24, 2026</t>
        </is>
      </c>
      <c r="B30" s="4" t="inlineStr">
        <is>
          <t>superbolt08</t>
        </is>
      </c>
      <c r="C30" s="5" t="n">
        <v>2</v>
      </c>
      <c r="D30" s="4" t="inlineStr">
        <is>
          <t>Reported unverified - no closing PR found</t>
        </is>
      </c>
      <c r="E30" s="5" t="n">
        <v>193</v>
      </c>
      <c r="F30" s="5">
        <f>HYPERLINK("https://github.com/EduAI-Lab/EduAI/issues/193","#193")</f>
        <v/>
      </c>
      <c r="G30" s="4" t="inlineStr">
        <is>
          <t>S: Week 3 - Evaluate HelpMe chatbot RAG vs EduAI core</t>
        </is>
      </c>
      <c r="H30" s="4" t="inlineStr">
        <is>
          <t>hours 2</t>
        </is>
      </c>
      <c r="I30" s="4" t="inlineStr"/>
      <c r="J30" s="4" t="inlineStr"/>
      <c r="K30" s="4" t="inlineStr"/>
      <c r="L30" s="4" t="inlineStr"/>
      <c r="M30" s="4" t="inlineStr"/>
      <c r="N30" s="5" t="n">
        <v>0</v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>
        <is>
          <t>YES - no closing PR found</t>
        </is>
      </c>
      <c r="W30" s="4" t="inlineStr">
        <is>
          <t>No explicit week; assigned to title week</t>
        </is>
      </c>
    </row>
    <row r="31">
      <c r="A31" s="2" t="inlineStr">
        <is>
          <t>May 18-24, 2026</t>
        </is>
      </c>
      <c r="B31" s="2" t="inlineStr">
        <is>
          <t>superbolt08</t>
        </is>
      </c>
      <c r="C31" s="3" t="n">
        <v>3</v>
      </c>
      <c r="D31" s="2" t="inlineStr">
        <is>
          <t>Verified - closing PR found</t>
        </is>
      </c>
      <c r="E31" s="3" t="n">
        <v>284</v>
      </c>
      <c r="F31" s="3">
        <f>HYPERLINK("https://github.com/EduAI-Lab/EduAI/issues/284","#284")</f>
        <v/>
      </c>
      <c r="G31" s="2" t="inlineStr">
        <is>
          <t>S: Week 3 - Research embeddings</t>
        </is>
      </c>
      <c r="H31" s="2" t="inlineStr">
        <is>
          <t>Hours to complete: 3</t>
        </is>
      </c>
      <c r="I31" s="3" t="n">
        <v>287</v>
      </c>
      <c r="J31" s="3">
        <f>HYPERLINK("https://github.com/EduAI-Lab/EduAI/pull/287","#287")</f>
        <v/>
      </c>
      <c r="K31" s="2" t="inlineStr">
        <is>
          <t>docs: Update changelog and documentation references for embeddings</t>
        </is>
      </c>
      <c r="L31" s="2" t="inlineStr">
        <is>
          <t>superbolt08</t>
        </is>
      </c>
      <c r="M31" s="2" t="inlineStr">
        <is>
          <t>MERGED</t>
        </is>
      </c>
      <c r="N31" s="3" t="n">
        <v>1</v>
      </c>
      <c r="O31" s="2" t="inlineStr">
        <is>
          <t>#284</t>
        </is>
      </c>
      <c r="P31" s="3" t="n">
        <v>1.67</v>
      </c>
      <c r="Q31" s="3" t="n">
        <v>1.67</v>
      </c>
      <c r="R31" s="3" t="n">
        <v>0</v>
      </c>
      <c r="S31" s="3" t="n">
        <v>0</v>
      </c>
      <c r="T31" s="3" t="n">
        <v>6.86</v>
      </c>
      <c r="U31" s="2" t="inlineStr">
        <is>
          <t>PR analytics artifact + GitHub fallback</t>
        </is>
      </c>
      <c r="V31" s="2" t="inlineStr"/>
      <c r="W31" s="2" t="inlineStr">
        <is>
          <t>No explicit week; assigned to title week; time_to_first_review/time_to_approval from artifact when available; comments/changes/cycle from GitHub</t>
        </is>
      </c>
    </row>
    <row r="32">
      <c r="A32" s="4" t="inlineStr">
        <is>
          <t>May 18-24, 2026</t>
        </is>
      </c>
      <c r="B32" s="4" t="inlineStr">
        <is>
          <t>superbolt08</t>
        </is>
      </c>
      <c r="C32" s="5" t="n">
        <v>3</v>
      </c>
      <c r="D32" s="4" t="inlineStr">
        <is>
          <t>Reported unverified - no closing PR found</t>
        </is>
      </c>
      <c r="E32" s="5" t="n">
        <v>319</v>
      </c>
      <c r="F32" s="5">
        <f>HYPERLINK("https://github.com/EduAI-Lab/EduAI/issues/319","#319")</f>
        <v/>
      </c>
      <c r="G32" s="4" t="inlineStr">
        <is>
          <t>M: Week 3 - Communications Regarding Embeddings</t>
        </is>
      </c>
      <c r="H32" s="4" t="inlineStr">
        <is>
          <t>Hours to complete (Week 3): 3 hours [Syed Saad Ali]</t>
        </is>
      </c>
      <c r="I32" s="4" t="inlineStr"/>
      <c r="J32" s="4" t="inlineStr"/>
      <c r="K32" s="4" t="inlineStr"/>
      <c r="L32" s="4" t="inlineStr"/>
      <c r="M32" s="4" t="inlineStr"/>
      <c r="N32" s="5" t="n">
        <v>0</v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>
        <is>
          <t>YES - no closing PR found</t>
        </is>
      </c>
      <c r="W32" s="4" t="inlineStr">
        <is>
          <t>Manual parser accepted explicit hours syntax</t>
        </is>
      </c>
    </row>
    <row r="33">
      <c r="A33" s="4" t="inlineStr">
        <is>
          <t>May 18-24, 2026</t>
        </is>
      </c>
      <c r="B33" s="4" t="inlineStr">
        <is>
          <t>superbolt08</t>
        </is>
      </c>
      <c r="C33" s="5" t="n">
        <v>3</v>
      </c>
      <c r="D33" s="4" t="inlineStr">
        <is>
          <t>Reported unverified - no closing PR found</t>
        </is>
      </c>
      <c r="E33" s="5" t="n">
        <v>323</v>
      </c>
      <c r="F33" s="5">
        <f>HYPERLINK("https://github.com/EduAI-Lab/EduAI/issues/323","#323")</f>
        <v/>
      </c>
      <c r="G33" s="4" t="inlineStr">
        <is>
          <t>S: Week 3 - Hours for Creating #197</t>
        </is>
      </c>
      <c r="H33" s="4" t="inlineStr">
        <is>
          <t>Hours: 3</t>
        </is>
      </c>
      <c r="I33" s="4" t="inlineStr"/>
      <c r="J33" s="4" t="inlineStr"/>
      <c r="K33" s="4" t="inlineStr"/>
      <c r="L33" s="4" t="inlineStr"/>
      <c r="M33" s="4" t="inlineStr"/>
      <c r="N33" s="5" t="n">
        <v>0</v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>
        <is>
          <t>YES - no closing PR found</t>
        </is>
      </c>
      <c r="W33" s="4" t="inlineStr">
        <is>
          <t>No explicit week; assigned to title week</t>
        </is>
      </c>
    </row>
    <row r="34">
      <c r="A34" s="2" t="inlineStr">
        <is>
          <t>May 18-24, 2026</t>
        </is>
      </c>
      <c r="B34" s="2" t="inlineStr">
        <is>
          <t>Whiteknight07</t>
        </is>
      </c>
      <c r="C34" s="3" t="n">
        <v>4</v>
      </c>
      <c r="D34" s="2" t="inlineStr">
        <is>
          <t>Verified - closing PR found</t>
        </is>
      </c>
      <c r="E34" s="3" t="n">
        <v>179</v>
      </c>
      <c r="F34" s="3">
        <f>HYPERLINK("https://github.com/EduAI-Lab/EduAI/issues/179","#179")</f>
        <v/>
      </c>
      <c r="G34" s="2" t="inlineStr">
        <is>
          <t>M: Week 3 - Add weekly team time reporting automation</t>
        </is>
      </c>
      <c r="H34" s="2" t="inlineStr">
        <is>
          <t>Hours to complete: 4 hours [Whiteknight07]</t>
        </is>
      </c>
      <c r="I34" s="3" t="n">
        <v>176</v>
      </c>
      <c r="J34" s="3">
        <f>HYPERLINK("https://github.com/EduAI-Lab/EduAI/pull/176","#176")</f>
        <v/>
      </c>
      <c r="K34" s="2" t="inlineStr">
        <is>
          <t>Add weekly team time reporting automation</t>
        </is>
      </c>
      <c r="L34" s="2" t="inlineStr">
        <is>
          <t>Whiteknight07</t>
        </is>
      </c>
      <c r="M34" s="2" t="inlineStr">
        <is>
          <t>MERGED</t>
        </is>
      </c>
      <c r="N34" s="3" t="n">
        <v>1</v>
      </c>
      <c r="O34" s="2" t="inlineStr">
        <is>
          <t>#179</t>
        </is>
      </c>
      <c r="P34" s="3" t="n">
        <v>11.65</v>
      </c>
      <c r="Q34" s="3" t="n">
        <v>80.31999999999999</v>
      </c>
      <c r="R34" s="3" t="n">
        <v>1</v>
      </c>
      <c r="S34" s="3" t="n">
        <v>2</v>
      </c>
      <c r="T34" s="3" t="n">
        <v>91.98999999999999</v>
      </c>
      <c r="U34" s="2" t="inlineStr">
        <is>
          <t>PR analytics artifact + GitHub fallback</t>
        </is>
      </c>
      <c r="V34" s="2" t="inlineStr"/>
      <c r="W34" s="2" t="inlineStr">
        <is>
          <t>No explicit week; assigned to title week; time_to_first_review/time_to_approval from artifact when available; comments/changes/cycle from GitHub</t>
        </is>
      </c>
    </row>
    <row r="35">
      <c r="A35" s="4" t="inlineStr">
        <is>
          <t>May 18-24, 2026</t>
        </is>
      </c>
      <c r="B35" s="4" t="inlineStr">
        <is>
          <t>yta3216</t>
        </is>
      </c>
      <c r="C35" s="5" t="n">
        <v>5</v>
      </c>
      <c r="D35" s="4" t="inlineStr">
        <is>
          <t>Reported unverified - no closing PR found</t>
        </is>
      </c>
      <c r="E35" s="5" t="n">
        <v>102</v>
      </c>
      <c r="F35" s="5">
        <f>HYPERLINK("https://github.com/EduAI-Lab/EduAI/issues/102","#102")</f>
        <v/>
      </c>
      <c r="G35" s="4" t="inlineStr">
        <is>
          <t>L: Week 2,3 - Initial (Pre RBAC) Develop Figma Wireframes for Future Unified Design</t>
        </is>
      </c>
      <c r="H35" s="4" t="inlineStr">
        <is>
          <t>Hours to complete (Week 3) [Ye]: 5 hours</t>
        </is>
      </c>
      <c r="I35" s="4" t="inlineStr"/>
      <c r="J35" s="4" t="inlineStr"/>
      <c r="K35" s="4" t="inlineStr"/>
      <c r="L35" s="4" t="inlineStr"/>
      <c r="M35" s="4" t="inlineStr"/>
      <c r="N35" s="5" t="n">
        <v>0</v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>
        <is>
          <t>YES - no closing PR found</t>
        </is>
      </c>
      <c r="W35" s="4" t="inlineStr">
        <is>
          <t>Manual parser accepted explicit hours syntax</t>
        </is>
      </c>
    </row>
    <row r="36">
      <c r="A36" s="4" t="inlineStr">
        <is>
          <t>May 18-24, 2026</t>
        </is>
      </c>
      <c r="B36" s="4" t="inlineStr">
        <is>
          <t>yta3216</t>
        </is>
      </c>
      <c r="C36" s="5" t="n">
        <v>2</v>
      </c>
      <c r="D36" s="4" t="inlineStr">
        <is>
          <t>Reported unverified - no closing PR found</t>
        </is>
      </c>
      <c r="E36" s="5" t="n">
        <v>131</v>
      </c>
      <c r="F36" s="5">
        <f>HYPERLINK("https://github.com/EduAI-Lab/EduAI/issues/131","#131")</f>
        <v/>
      </c>
      <c r="G36" s="4" t="inlineStr">
        <is>
          <t>S: Week 2,3 - Coordinate wireframe/UI design with teammates</t>
        </is>
      </c>
      <c r="H36" s="4" t="inlineStr">
        <is>
          <t>Hours to complete (Week 3): 2 [Ye]</t>
        </is>
      </c>
      <c r="I36" s="4" t="inlineStr"/>
      <c r="J36" s="4" t="inlineStr"/>
      <c r="K36" s="4" t="inlineStr"/>
      <c r="L36" s="4" t="inlineStr"/>
      <c r="M36" s="4" t="inlineStr"/>
      <c r="N36" s="5" t="n">
        <v>0</v>
      </c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>
        <is>
          <t>YES - no closing PR found</t>
        </is>
      </c>
      <c r="W36" s="4" t="inlineStr">
        <is>
          <t>Manual parser accepted explicit hours syntax</t>
        </is>
      </c>
    </row>
    <row r="37">
      <c r="A37" s="4" t="inlineStr">
        <is>
          <t>May 18-24, 2026</t>
        </is>
      </c>
      <c r="B37" s="4" t="inlineStr">
        <is>
          <t>yta3216</t>
        </is>
      </c>
      <c r="C37" s="5" t="n">
        <v>1.5</v>
      </c>
      <c r="D37" s="4" t="inlineStr">
        <is>
          <t>Reported unverified - no closing PR found</t>
        </is>
      </c>
      <c r="E37" s="5" t="n">
        <v>204</v>
      </c>
      <c r="F37" s="5">
        <f>HYPERLINK("https://github.com/EduAI-Lab/EduAI/issues/204","#204")</f>
        <v/>
      </c>
      <c r="G37" s="4" t="inlineStr">
        <is>
          <t>S: Week 3 - L00 Kickoff &amp; branch (chat latency sprint)</t>
        </is>
      </c>
      <c r="H37" s="4" t="inlineStr">
        <is>
          <t>Hours to complete (Week 3) [Ye]: 1.5 hours</t>
        </is>
      </c>
      <c r="I37" s="4" t="inlineStr"/>
      <c r="J37" s="4" t="inlineStr"/>
      <c r="K37" s="4" t="inlineStr"/>
      <c r="L37" s="4" t="inlineStr"/>
      <c r="M37" s="4" t="inlineStr"/>
      <c r="N37" s="5" t="n">
        <v>0</v>
      </c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>
        <is>
          <t>YES - no closing PR found</t>
        </is>
      </c>
      <c r="W37" s="4" t="inlineStr">
        <is>
          <t>Manual parser accepted explicit hours syntax</t>
        </is>
      </c>
    </row>
    <row r="38">
      <c r="A38" s="4" t="inlineStr">
        <is>
          <t>May 18-24, 2026</t>
        </is>
      </c>
      <c r="B38" s="4" t="inlineStr">
        <is>
          <t>yta3216</t>
        </is>
      </c>
      <c r="C38" s="5" t="n">
        <v>4</v>
      </c>
      <c r="D38" s="4" t="inlineStr">
        <is>
          <t>Reported unverified - no closing PR found</t>
        </is>
      </c>
      <c r="E38" s="5" t="n">
        <v>205</v>
      </c>
      <c r="F38" s="5">
        <f>HYPERLINK("https://github.com/EduAI-Lab/EduAI/issues/205","#205")</f>
        <v/>
      </c>
      <c r="G38" s="4" t="inlineStr">
        <is>
          <t>M: Week 3 - L01 Restore chat latency benchmark script</t>
        </is>
      </c>
      <c r="H38" s="4" t="inlineStr">
        <is>
          <t>Hours to complete (Week 3) [Ye]: 4 hours</t>
        </is>
      </c>
      <c r="I38" s="4" t="inlineStr"/>
      <c r="J38" s="4" t="inlineStr"/>
      <c r="K38" s="4" t="inlineStr"/>
      <c r="L38" s="4" t="inlineStr"/>
      <c r="M38" s="4" t="inlineStr"/>
      <c r="N38" s="5" t="n">
        <v>0</v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>
        <is>
          <t>YES - no closing PR found</t>
        </is>
      </c>
      <c r="W38" s="4" t="inlineStr">
        <is>
          <t>Manual parser accepted explicit hours syntax</t>
        </is>
      </c>
    </row>
    <row r="39">
      <c r="A39" s="2" t="inlineStr">
        <is>
          <t>May 18-24, 2026</t>
        </is>
      </c>
      <c r="B39" s="2" t="inlineStr">
        <is>
          <t>yta3216</t>
        </is>
      </c>
      <c r="C39" s="3" t="n">
        <v>5</v>
      </c>
      <c r="D39" s="2" t="inlineStr">
        <is>
          <t>Verified - closing PR found</t>
        </is>
      </c>
      <c r="E39" s="3" t="n">
        <v>218</v>
      </c>
      <c r="F39" s="3">
        <f>HYPERLINK("https://github.com/EduAI-Lab/EduAI/issues/218","#218")</f>
        <v/>
      </c>
      <c r="G39" s="2" t="inlineStr">
        <is>
          <t>L: Week 3,4 - Identify and implement reusable UI components and UBC assets</t>
        </is>
      </c>
      <c r="H39" s="2" t="inlineStr">
        <is>
          <t>Hours to complete (Week 3): 5 hours [Ye]</t>
        </is>
      </c>
      <c r="I39" s="3" t="n">
        <v>376</v>
      </c>
      <c r="J39" s="3">
        <f>HYPERLINK("https://github.com/EduAI-Lab/EduAI/pull/376","#376")</f>
        <v/>
      </c>
      <c r="K39" s="2" t="inlineStr">
        <is>
          <t>docs: added shared component library audit .md file</t>
        </is>
      </c>
      <c r="L39" s="2" t="inlineStr">
        <is>
          <t>yta3216</t>
        </is>
      </c>
      <c r="M39" s="2" t="inlineStr">
        <is>
          <t>OPEN</t>
        </is>
      </c>
      <c r="N39" s="3" t="n">
        <v>1</v>
      </c>
      <c r="O39" s="2" t="inlineStr">
        <is>
          <t>#218</t>
        </is>
      </c>
      <c r="P39" s="3" t="n">
        <v>3.84</v>
      </c>
      <c r="Q39" s="2" t="inlineStr"/>
      <c r="R39" s="3" t="n">
        <v>1</v>
      </c>
      <c r="S39" s="3" t="n">
        <v>1</v>
      </c>
      <c r="T39" s="2" t="inlineStr"/>
      <c r="U39" s="2" t="inlineStr">
        <is>
          <t>GitHub CLI fallback</t>
        </is>
      </c>
      <c r="V39" s="2" t="inlineStr"/>
      <c r="W39" s="2" t="inlineStr">
        <is>
          <t>Manual parser accepted explicit hours syntax</t>
        </is>
      </c>
    </row>
    <row r="40">
      <c r="A40" s="4" t="inlineStr">
        <is>
          <t>May 18-24, 2026</t>
        </is>
      </c>
      <c r="B40" s="4" t="inlineStr">
        <is>
          <t>yta3216</t>
        </is>
      </c>
      <c r="C40" s="5" t="n">
        <v>1</v>
      </c>
      <c r="D40" s="4" t="inlineStr">
        <is>
          <t>Reported unverified - no closing PR found</t>
        </is>
      </c>
      <c r="E40" s="5" t="n">
        <v>228</v>
      </c>
      <c r="F40" s="5">
        <f>HYPERLINK("https://github.com/EduAI-Lab/EduAI/issues/228","#228")</f>
        <v/>
      </c>
      <c r="G40" s="4" t="inlineStr">
        <is>
          <t>S: Week 3 - Add all issues mentioned during Tuesday meeting</t>
        </is>
      </c>
      <c r="H40" s="4" t="inlineStr">
        <is>
          <t>Hours to complete (Week 3): 1 hours [Ye]</t>
        </is>
      </c>
      <c r="I40" s="4" t="inlineStr"/>
      <c r="J40" s="4" t="inlineStr"/>
      <c r="K40" s="4" t="inlineStr"/>
      <c r="L40" s="4" t="inlineStr"/>
      <c r="M40" s="4" t="inlineStr"/>
      <c r="N40" s="5" t="n">
        <v>0</v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>
        <is>
          <t>YES - no closing PR found</t>
        </is>
      </c>
      <c r="W40" s="4" t="inlineStr">
        <is>
          <t>Manual parser accepted explicit hours syntax</t>
        </is>
      </c>
    </row>
    <row r="41">
      <c r="A41" s="4" t="inlineStr">
        <is>
          <t>May 18-24, 2026</t>
        </is>
      </c>
      <c r="B41" s="4" t="inlineStr">
        <is>
          <t>yta3216</t>
        </is>
      </c>
      <c r="C41" s="5" t="n">
        <v>2.5</v>
      </c>
      <c r="D41" s="4" t="inlineStr">
        <is>
          <t>Reported unverified - no closing PR found</t>
        </is>
      </c>
      <c r="E41" s="5" t="n">
        <v>251</v>
      </c>
      <c r="F41" s="5">
        <f>HYPERLINK("https://github.com/EduAI-Lab/EduAI/issues/251","#251")</f>
        <v/>
      </c>
      <c r="G41" s="4" t="inlineStr">
        <is>
          <t>S: Week 3 - chat-latency-bench.mjs not running properly</t>
        </is>
      </c>
      <c r="H41" s="4" t="inlineStr">
        <is>
          <t>Hours to complete (Week 3) [Ye]: 2.5 hours</t>
        </is>
      </c>
      <c r="I41" s="4" t="inlineStr"/>
      <c r="J41" s="4" t="inlineStr"/>
      <c r="K41" s="4" t="inlineStr"/>
      <c r="L41" s="4" t="inlineStr"/>
      <c r="M41" s="4" t="inlineStr"/>
      <c r="N41" s="5" t="n">
        <v>0</v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>
        <is>
          <t>YES - no closing PR found</t>
        </is>
      </c>
      <c r="W41" s="4" t="inlineStr">
        <is>
          <t>Manual parser accepted explicit hours syntax</t>
        </is>
      </c>
    </row>
    <row r="42">
      <c r="A42" s="2" t="inlineStr">
        <is>
          <t>May 18-24, 2026</t>
        </is>
      </c>
      <c r="B42" s="2" t="inlineStr">
        <is>
          <t>yta3216</t>
        </is>
      </c>
      <c r="C42" s="3" t="n">
        <v>1.5</v>
      </c>
      <c r="D42" s="2" t="inlineStr">
        <is>
          <t>Verified - closing PR found</t>
        </is>
      </c>
      <c r="E42" s="3" t="n">
        <v>263</v>
      </c>
      <c r="F42" s="3">
        <f>HYPERLINK("https://github.com/EduAI-Lab/EduAI/issues/263","#263")</f>
        <v/>
      </c>
      <c r="G42" s="2" t="inlineStr">
        <is>
          <t>S: Week 3 - Determine the need for package-lock.json inside core and extensions</t>
        </is>
      </c>
      <c r="H42" s="2" t="inlineStr">
        <is>
          <t>Hours to complete (Week 3) [Ye]: 1.5 hours</t>
        </is>
      </c>
      <c r="I42" s="3" t="n">
        <v>268</v>
      </c>
      <c r="J42" s="3">
        <f>HYPERLINK("https://github.com/EduAI-Lab/EduAI/pull/268","#268")</f>
        <v/>
      </c>
      <c r="K42" s="2" t="inlineStr">
        <is>
          <t>chore: Removed old package-locks and added them to .gitignore</t>
        </is>
      </c>
      <c r="L42" s="2" t="inlineStr">
        <is>
          <t>yta3216</t>
        </is>
      </c>
      <c r="M42" s="2" t="inlineStr">
        <is>
          <t>MERGED</t>
        </is>
      </c>
      <c r="N42" s="3" t="n">
        <v>1</v>
      </c>
      <c r="O42" s="2" t="inlineStr">
        <is>
          <t>#263</t>
        </is>
      </c>
      <c r="P42" s="3" t="n">
        <v>0.18</v>
      </c>
      <c r="Q42" s="3" t="n">
        <v>0.18</v>
      </c>
      <c r="R42" s="3" t="n">
        <v>0</v>
      </c>
      <c r="S42" s="3" t="n">
        <v>0</v>
      </c>
      <c r="T42" s="3" t="n">
        <v>0.4</v>
      </c>
      <c r="U42" s="2" t="inlineStr">
        <is>
          <t>PR analytics artifact + GitHub fallback</t>
        </is>
      </c>
      <c r="V42" s="2" t="inlineStr"/>
      <c r="W42" s="2" t="inlineStr">
        <is>
          <t>Manual parser accepted explicit hours syntax; time_to_first_review/time_to_approval from artifact when available; comments/changes/cycle from GitHub</t>
        </is>
      </c>
    </row>
    <row r="43">
      <c r="A43" s="2" t="inlineStr">
        <is>
          <t>May 18-24, 2026</t>
        </is>
      </c>
      <c r="B43" s="2" t="inlineStr">
        <is>
          <t>yta3216</t>
        </is>
      </c>
      <c r="C43" s="3" t="n">
        <v>2</v>
      </c>
      <c r="D43" s="2" t="inlineStr">
        <is>
          <t>Verified - closing PR found</t>
        </is>
      </c>
      <c r="E43" s="3" t="n">
        <v>276</v>
      </c>
      <c r="F43" s="3">
        <f>HYPERLINK("https://github.com/EduAI-Lab/EduAI/issues/276","#276")</f>
        <v/>
      </c>
      <c r="G43" s="2" t="inlineStr">
        <is>
          <t>S: Week 3 - Core: requireServiceKey guard for service-to-service auth</t>
        </is>
      </c>
      <c r="H43" s="2" t="inlineStr">
        <is>
          <t>Hours to complete: Week 3 [Ye] - 2</t>
        </is>
      </c>
      <c r="I43" s="3" t="n">
        <v>337</v>
      </c>
      <c r="J43" s="3">
        <f>HYPERLINK("https://github.com/EduAI-Lab/EduAI/pull/337","#337")</f>
        <v/>
      </c>
      <c r="K43" s="2" t="inlineStr">
        <is>
          <t>feat(core): Implement requireServiceKey guard with tests and documentation updates</t>
        </is>
      </c>
      <c r="L43" s="2" t="inlineStr">
        <is>
          <t>yta3216</t>
        </is>
      </c>
      <c r="M43" s="2" t="inlineStr">
        <is>
          <t>MERGED</t>
        </is>
      </c>
      <c r="N43" s="3" t="n">
        <v>1</v>
      </c>
      <c r="O43" s="2" t="inlineStr">
        <is>
          <t>#276</t>
        </is>
      </c>
      <c r="P43" s="3" t="n">
        <v>2.64</v>
      </c>
      <c r="Q43" s="3" t="n">
        <v>2.64</v>
      </c>
      <c r="R43" s="3" t="n">
        <v>0</v>
      </c>
      <c r="S43" s="3" t="n">
        <v>0</v>
      </c>
      <c r="T43" s="3" t="n">
        <v>14.51</v>
      </c>
      <c r="U43" s="2" t="inlineStr">
        <is>
          <t>GitHub CLI fallback</t>
        </is>
      </c>
      <c r="V43" s="2" t="inlineStr"/>
      <c r="W43" s="2" t="inlineStr">
        <is>
          <t>Manual parser accepted reordered hours syntax</t>
        </is>
      </c>
    </row>
    <row r="44">
      <c r="A44" s="4" t="inlineStr">
        <is>
          <t>May 25-31, 2026</t>
        </is>
      </c>
      <c r="B44" s="4" t="inlineStr">
        <is>
          <t>abdullahmoh21</t>
        </is>
      </c>
      <c r="C44" s="5" t="n">
        <v>4</v>
      </c>
      <c r="D44" s="4" t="inlineStr">
        <is>
          <t>Verified but needs manual review</t>
        </is>
      </c>
      <c r="E44" s="5" t="n">
        <v>280</v>
      </c>
      <c r="F44" s="5">
        <f>HYPERLINK("https://github.com/EduAI-Lab/EduAI/issues/280","#280")</f>
        <v/>
      </c>
      <c r="G44" s="4" t="inlineStr">
        <is>
          <t>L: Week 4, 5 - Core: questions endpoints (POST, GET list, GET /:id, PATCH /:id with idempotency)</t>
        </is>
      </c>
      <c r="H44" s="4" t="inlineStr">
        <is>
          <t>Hours to complete: 4</t>
        </is>
      </c>
      <c r="I44" s="5" t="n">
        <v>430</v>
      </c>
      <c r="J44" s="5">
        <f>HYPERLINK("https://github.com/EduAI-Lab/EduAI/pull/430","#430")</f>
        <v/>
      </c>
      <c r="K44" s="4" t="inlineStr">
        <is>
          <t xml:space="preserve"> centralize platform — finish api-wiring</t>
        </is>
      </c>
      <c r="L44" s="4" t="inlineStr">
        <is>
          <t>abdullahmoh21</t>
        </is>
      </c>
      <c r="M44" s="4" t="inlineStr">
        <is>
          <t>OPEN</t>
        </is>
      </c>
      <c r="N44" s="5" t="n">
        <v>6</v>
      </c>
      <c r="O44" s="4" t="inlineStr">
        <is>
          <t>#278, #280, #281, #282, #427, #428</t>
        </is>
      </c>
      <c r="P44" s="4" t="inlineStr"/>
      <c r="Q44" s="4" t="inlineStr"/>
      <c r="R44" s="5" t="n">
        <v>0</v>
      </c>
      <c r="S44" s="5" t="n">
        <v>0</v>
      </c>
      <c r="T44" s="4" t="inlineStr"/>
      <c r="U44" s="4" t="inlineStr">
        <is>
          <t>GitHub CLI fallback</t>
        </is>
      </c>
      <c r="V44" s="4" t="inlineStr">
        <is>
          <t>YES - PR closes 6 issues</t>
        </is>
      </c>
      <c r="W44" s="4" t="inlineStr">
        <is>
          <t>No explicit week; assigned to title week</t>
        </is>
      </c>
    </row>
    <row r="45">
      <c r="A45" s="4" t="inlineStr">
        <is>
          <t>May 25-31, 2026</t>
        </is>
      </c>
      <c r="B45" s="4" t="inlineStr">
        <is>
          <t>abdullahmoh21</t>
        </is>
      </c>
      <c r="C45" s="5" t="n">
        <v>5</v>
      </c>
      <c r="D45" s="4" t="inlineStr">
        <is>
          <t>Reported unverified - no closing PR found</t>
        </is>
      </c>
      <c r="E45" s="5" t="n">
        <v>293</v>
      </c>
      <c r="F45" s="5">
        <f>HYPERLINK("https://github.com/EduAI-Lab/EduAI/issues/293","#293")</f>
        <v/>
      </c>
      <c r="G45" s="4" t="inlineStr">
        <is>
          <t>M: Week 4,5 - Core: resolveCourseAccess helper (TS) + answer-strip serializer</t>
        </is>
      </c>
      <c r="H45" s="4" t="inlineStr">
        <is>
          <t>Hours to complete: 5</t>
        </is>
      </c>
      <c r="I45" s="4" t="inlineStr"/>
      <c r="J45" s="4" t="inlineStr"/>
      <c r="K45" s="4" t="inlineStr"/>
      <c r="L45" s="4" t="inlineStr"/>
      <c r="M45" s="4" t="inlineStr"/>
      <c r="N45" s="5" t="n">
        <v>0</v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>
        <is>
          <t>YES - no closing PR found</t>
        </is>
      </c>
      <c r="W45" s="4" t="inlineStr">
        <is>
          <t>No explicit week; assigned to title week</t>
        </is>
      </c>
    </row>
    <row r="46">
      <c r="A46" s="2" t="inlineStr">
        <is>
          <t>May 25-31, 2026</t>
        </is>
      </c>
      <c r="B46" s="2" t="inlineStr">
        <is>
          <t>evanbones</t>
        </is>
      </c>
      <c r="C46" s="3" t="n">
        <v>2</v>
      </c>
      <c r="D46" s="2" t="inlineStr">
        <is>
          <t>Verified - closing PR found</t>
        </is>
      </c>
      <c r="E46" s="3" t="n">
        <v>235</v>
      </c>
      <c r="F46" s="3">
        <f>HYPERLINK("https://github.com/EduAI-Lab/EduAI/issues/235","#235")</f>
        <v/>
      </c>
      <c r="G46" s="2" t="inlineStr">
        <is>
          <t>S: Week 4 - on npm run dev local, auto seed data</t>
        </is>
      </c>
      <c r="H46" s="2" t="inlineStr">
        <is>
          <t>Week 4 - Hours: 2 [Evan]</t>
        </is>
      </c>
      <c r="I46" s="3" t="n">
        <v>331</v>
      </c>
      <c r="J46" s="3">
        <f>HYPERLINK("https://github.com/EduAI-Lab/EduAI/pull/331","#331")</f>
        <v/>
      </c>
      <c r="K46" s="2" t="inlineStr">
        <is>
          <t>feat: auto-seed db</t>
        </is>
      </c>
      <c r="L46" s="2" t="inlineStr">
        <is>
          <t>evanbones</t>
        </is>
      </c>
      <c r="M46" s="2" t="inlineStr">
        <is>
          <t>MERGED</t>
        </is>
      </c>
      <c r="N46" s="3" t="n">
        <v>1</v>
      </c>
      <c r="O46" s="2" t="inlineStr">
        <is>
          <t>#235</t>
        </is>
      </c>
      <c r="P46" s="3" t="n">
        <v>0</v>
      </c>
      <c r="Q46" s="2" t="inlineStr"/>
      <c r="R46" s="3" t="n">
        <v>0</v>
      </c>
      <c r="S46" s="3" t="n">
        <v>0</v>
      </c>
      <c r="T46" s="3" t="n">
        <v>0.01</v>
      </c>
      <c r="U46" s="2" t="inlineStr">
        <is>
          <t>PR analytics artifact + GitHub fallback</t>
        </is>
      </c>
      <c r="V46" s="2" t="inlineStr"/>
      <c r="W46" s="2" t="inlineStr">
        <is>
          <t>Manual parser accepted weekhours hours syntax; time_to_first_review/time_to_approval from artifact when available; comments/changes/cycle from GitHub</t>
        </is>
      </c>
    </row>
    <row r="47">
      <c r="A47" s="2" t="inlineStr">
        <is>
          <t>May 25-31, 2026</t>
        </is>
      </c>
      <c r="B47" s="2" t="inlineStr">
        <is>
          <t>evanbones</t>
        </is>
      </c>
      <c r="C47" s="3" t="n">
        <v>4</v>
      </c>
      <c r="D47" s="2" t="inlineStr">
        <is>
          <t>Verified - closing PR found</t>
        </is>
      </c>
      <c r="E47" s="3" t="n">
        <v>279</v>
      </c>
      <c r="F47" s="3">
        <f>HYPERLINK("https://github.com/EduAI-Lab/EduAI/issues/279","#279")</f>
        <v/>
      </c>
      <c r="G47" s="2" t="inlineStr">
        <is>
          <t>S: Week 4 - Core: POST /api/bug-reports</t>
        </is>
      </c>
      <c r="H47" s="2" t="inlineStr">
        <is>
          <t>Hours to complete: 4</t>
        </is>
      </c>
      <c r="I47" s="3" t="n">
        <v>375</v>
      </c>
      <c r="J47" s="3">
        <f>HYPERLINK("https://github.com/EduAI-Lab/EduAI/pull/375","#375")</f>
        <v/>
      </c>
      <c r="K47" s="2" t="inlineStr">
        <is>
          <t>feat: centralize bug reports — POST /api/bug-reports on Core, both extensions wired</t>
        </is>
      </c>
      <c r="L47" s="2" t="inlineStr">
        <is>
          <t>evanbones</t>
        </is>
      </c>
      <c r="M47" s="2" t="inlineStr">
        <is>
          <t>MERGED</t>
        </is>
      </c>
      <c r="N47" s="3" t="n">
        <v>1</v>
      </c>
      <c r="O47" s="2" t="inlineStr">
        <is>
          <t>#279</t>
        </is>
      </c>
      <c r="P47" s="2" t="inlineStr"/>
      <c r="Q47" s="2" t="inlineStr"/>
      <c r="R47" s="3" t="n">
        <v>0</v>
      </c>
      <c r="S47" s="3" t="n">
        <v>0</v>
      </c>
      <c r="T47" s="3" t="n">
        <v>0.52</v>
      </c>
      <c r="U47" s="2" t="inlineStr">
        <is>
          <t>GitHub CLI fallback</t>
        </is>
      </c>
      <c r="V47" s="2" t="inlineStr"/>
      <c r="W47" s="2" t="inlineStr">
        <is>
          <t>No explicit week; assigned to title week</t>
        </is>
      </c>
    </row>
    <row r="48">
      <c r="A48" s="2" t="inlineStr">
        <is>
          <t>May 25-31, 2026</t>
        </is>
      </c>
      <c r="B48" s="2" t="inlineStr">
        <is>
          <t>evanbones</t>
        </is>
      </c>
      <c r="C48" s="3" t="n">
        <v>4</v>
      </c>
      <c r="D48" s="2" t="inlineStr">
        <is>
          <t>Verified - closing PR found</t>
        </is>
      </c>
      <c r="E48" s="3" t="n">
        <v>343</v>
      </c>
      <c r="F48" s="3">
        <f>HYPERLINK("https://github.com/EduAI-Lab/EduAI/issues/343","#343")</f>
        <v/>
      </c>
      <c r="G48" s="2" t="inlineStr">
        <is>
          <t>M: Week 4 - Core session validation endpoint (Phase 1 auth centralization)</t>
        </is>
      </c>
      <c r="H48" s="2" t="inlineStr">
        <is>
          <t>Hours to complete (Week 4): 4 hours [Evan Bowness]</t>
        </is>
      </c>
      <c r="I48" s="3" t="n">
        <v>344</v>
      </c>
      <c r="J48" s="3">
        <f>HYPERLINK("https://github.com/EduAI-Lab/EduAI/pull/344","#344")</f>
        <v/>
      </c>
      <c r="K48" s="2" t="inlineStr">
        <is>
          <t>feat(core): Phase 1 auth centralization — POST /api/sessions/validate and login redirect</t>
        </is>
      </c>
      <c r="L48" s="2" t="inlineStr">
        <is>
          <t>evanbones</t>
        </is>
      </c>
      <c r="M48" s="2" t="inlineStr">
        <is>
          <t>MERGED</t>
        </is>
      </c>
      <c r="N48" s="3" t="n">
        <v>1</v>
      </c>
      <c r="O48" s="2" t="inlineStr">
        <is>
          <t>#343</t>
        </is>
      </c>
      <c r="P48" s="2" t="inlineStr"/>
      <c r="Q48" s="2" t="inlineStr"/>
      <c r="R48" s="3" t="n">
        <v>0</v>
      </c>
      <c r="S48" s="3" t="n">
        <v>0</v>
      </c>
      <c r="T48" s="3" t="n">
        <v>0.8</v>
      </c>
      <c r="U48" s="2" t="inlineStr">
        <is>
          <t>GitHub CLI fallback</t>
        </is>
      </c>
      <c r="V48" s="2" t="inlineStr"/>
      <c r="W48" s="2" t="inlineStr">
        <is>
          <t>Manual parser accepted explicit hours syntax</t>
        </is>
      </c>
    </row>
    <row r="49">
      <c r="A49" s="2" t="inlineStr">
        <is>
          <t>May 25-31, 2026</t>
        </is>
      </c>
      <c r="B49" s="2" t="inlineStr">
        <is>
          <t>evanbones</t>
        </is>
      </c>
      <c r="C49" s="3" t="n">
        <v>8</v>
      </c>
      <c r="D49" s="2" t="inlineStr">
        <is>
          <t>Verified - closing PR found</t>
        </is>
      </c>
      <c r="E49" s="3" t="n">
        <v>349</v>
      </c>
      <c r="F49" s="3">
        <f>HYPERLINK("https://github.com/EduAI-Lab/EduAI/issues/349","#349")</f>
        <v/>
      </c>
      <c r="G49" s="2" t="inlineStr">
        <is>
          <t>L: Week 4 - Unify Extension Auth</t>
        </is>
      </c>
      <c r="H49" s="2" t="inlineStr">
        <is>
          <t>Hours to complete (Week 4): 8 hours [Evan Bowness]</t>
        </is>
      </c>
      <c r="I49" s="3" t="n">
        <v>350</v>
      </c>
      <c r="J49" s="3">
        <f>HYPERLINK("https://github.com/EduAI-Lab/EduAI/pull/350","#350")</f>
        <v/>
      </c>
      <c r="K49" s="2" t="inlineStr">
        <is>
          <t>feat(auth): Phase 2 auth pipeline centralization — migrate AI Tutor and Question Maker to Core session validation</t>
        </is>
      </c>
      <c r="L49" s="2" t="inlineStr">
        <is>
          <t>evanbones</t>
        </is>
      </c>
      <c r="M49" s="2" t="inlineStr">
        <is>
          <t>MERGED</t>
        </is>
      </c>
      <c r="N49" s="3" t="n">
        <v>1</v>
      </c>
      <c r="O49" s="2" t="inlineStr">
        <is>
          <t>#349</t>
        </is>
      </c>
      <c r="P49" s="2" t="inlineStr"/>
      <c r="Q49" s="2" t="inlineStr"/>
      <c r="R49" s="3" t="n">
        <v>0</v>
      </c>
      <c r="S49" s="3" t="n">
        <v>0</v>
      </c>
      <c r="T49" s="3" t="n">
        <v>0.28</v>
      </c>
      <c r="U49" s="2" t="inlineStr">
        <is>
          <t>GitHub CLI fallback</t>
        </is>
      </c>
      <c r="V49" s="2" t="inlineStr"/>
      <c r="W49" s="2" t="inlineStr">
        <is>
          <t>Manual parser accepted explicit hours syntax</t>
        </is>
      </c>
    </row>
    <row r="50">
      <c r="A50" s="4" t="inlineStr">
        <is>
          <t>May 25-31, 2026</t>
        </is>
      </c>
      <c r="B50" s="4" t="inlineStr">
        <is>
          <t>frostbitcactus</t>
        </is>
      </c>
      <c r="C50" s="5" t="n">
        <v>5</v>
      </c>
      <c r="D50" s="4" t="inlineStr">
        <is>
          <t>Verified but needs manual review</t>
        </is>
      </c>
      <c r="E50" s="5" t="n">
        <v>278</v>
      </c>
      <c r="F50" s="5">
        <f>HYPERLINK("https://github.com/EduAI-Lab/EduAI/issues/278","#278")</f>
        <v/>
      </c>
      <c r="G50" s="4" t="inlineStr">
        <is>
          <t>M: Week 4 - Core: GET /api/courses/:id/enrollments (dual auth)</t>
        </is>
      </c>
      <c r="H50" s="4" t="inlineStr">
        <is>
          <t>Hours to complete: 5</t>
        </is>
      </c>
      <c r="I50" s="5" t="n">
        <v>430</v>
      </c>
      <c r="J50" s="5">
        <f>HYPERLINK("https://github.com/EduAI-Lab/EduAI/pull/430","#430")</f>
        <v/>
      </c>
      <c r="K50" s="4" t="inlineStr">
        <is>
          <t xml:space="preserve"> centralize platform — finish api-wiring</t>
        </is>
      </c>
      <c r="L50" s="4" t="inlineStr">
        <is>
          <t>abdullahmoh21</t>
        </is>
      </c>
      <c r="M50" s="4" t="inlineStr">
        <is>
          <t>OPEN</t>
        </is>
      </c>
      <c r="N50" s="5" t="n">
        <v>6</v>
      </c>
      <c r="O50" s="4" t="inlineStr">
        <is>
          <t>#278, #280, #281, #282, #427, #428</t>
        </is>
      </c>
      <c r="P50" s="4" t="inlineStr"/>
      <c r="Q50" s="4" t="inlineStr"/>
      <c r="R50" s="5" t="n">
        <v>0</v>
      </c>
      <c r="S50" s="5" t="n">
        <v>0</v>
      </c>
      <c r="T50" s="4" t="inlineStr"/>
      <c r="U50" s="4" t="inlineStr">
        <is>
          <t>GitHub CLI fallback</t>
        </is>
      </c>
      <c r="V50" s="4" t="inlineStr">
        <is>
          <t>YES - PR closes 6 issues</t>
        </is>
      </c>
      <c r="W50" s="4" t="inlineStr">
        <is>
          <t>No explicit week; assigned to title week</t>
        </is>
      </c>
    </row>
    <row r="51">
      <c r="A51" s="2" t="inlineStr">
        <is>
          <t>May 25-31, 2026</t>
        </is>
      </c>
      <c r="B51" s="2" t="inlineStr">
        <is>
          <t>GlowyBlack</t>
        </is>
      </c>
      <c r="C51" s="3" t="n">
        <v>2</v>
      </c>
      <c r="D51" s="2" t="inlineStr">
        <is>
          <t>Verified - closing PR found</t>
        </is>
      </c>
      <c r="E51" s="3" t="n">
        <v>277</v>
      </c>
      <c r="F51" s="3">
        <f>HYPERLINK("https://github.com/EduAI-Lab/EduAI/issues/277","#277")</f>
        <v/>
      </c>
      <c r="G51" s="2" t="inlineStr">
        <is>
          <t>M: Week 4 - Core: course read endpoints (fix GET /:id loader, add GET /:id/topics/:topicId, dual-auth existing topic routes)</t>
        </is>
      </c>
      <c r="H51" s="2" t="inlineStr">
        <is>
          <t>Hours to Complete (Week 4): 2</t>
        </is>
      </c>
      <c r="I51" s="3" t="n">
        <v>338</v>
      </c>
      <c r="J51" s="3">
        <f>HYPERLINK("https://github.com/EduAI-Lab/EduAI/pull/338","#338")</f>
        <v/>
      </c>
      <c r="K51" s="2" t="inlineStr">
        <is>
          <t>Feat/platform-centralization-phase-0</t>
        </is>
      </c>
      <c r="L51" s="2" t="inlineStr">
        <is>
          <t>GlowyBlack</t>
        </is>
      </c>
      <c r="M51" s="2" t="inlineStr">
        <is>
          <t>MERGED</t>
        </is>
      </c>
      <c r="N51" s="3" t="n">
        <v>1</v>
      </c>
      <c r="O51" s="2" t="inlineStr">
        <is>
          <t>#277</t>
        </is>
      </c>
      <c r="P51" s="3" t="n">
        <v>10.86</v>
      </c>
      <c r="Q51" s="3" t="n">
        <v>60.31</v>
      </c>
      <c r="R51" s="3" t="n">
        <v>9</v>
      </c>
      <c r="S51" s="3" t="n">
        <v>2</v>
      </c>
      <c r="T51" s="3" t="n">
        <v>85.7</v>
      </c>
      <c r="U51" s="2" t="inlineStr">
        <is>
          <t>GitHub CLI fallback</t>
        </is>
      </c>
      <c r="V51" s="2" t="inlineStr"/>
      <c r="W51" s="2" t="inlineStr">
        <is>
          <t>Manual parser accepted explicit hours syntax</t>
        </is>
      </c>
    </row>
    <row r="52">
      <c r="A52" s="2" t="inlineStr">
        <is>
          <t>May 25-31, 2026</t>
        </is>
      </c>
      <c r="B52" s="2" t="inlineStr">
        <is>
          <t>GlowyBlack</t>
        </is>
      </c>
      <c r="C52" s="3" t="n">
        <v>2</v>
      </c>
      <c r="D52" s="2" t="inlineStr">
        <is>
          <t>Verified - closing PR found</t>
        </is>
      </c>
      <c r="E52" s="3" t="n">
        <v>345</v>
      </c>
      <c r="F52" s="3">
        <f>HYPERLINK("https://github.com/EduAI-Lab/EduAI/issues/345","#345")</f>
        <v/>
      </c>
      <c r="G52" s="2" t="inlineStr">
        <is>
          <t>S: Week 4  - Core: align course list/create/update APIs with unified schema (server.ts, schemas, materials)</t>
        </is>
      </c>
      <c r="H52" s="2" t="inlineStr">
        <is>
          <t>Hours to complete: 2</t>
        </is>
      </c>
      <c r="I52" s="3" t="n">
        <v>392</v>
      </c>
      <c r="J52" s="3">
        <f>HYPERLINK("https://github.com/EduAI-Lab/EduAI/pull/392","#392")</f>
        <v/>
      </c>
      <c r="K52" s="2" t="inlineStr">
        <is>
          <t>refactor(core): split course handlers and align course/topic server logic with current schema</t>
        </is>
      </c>
      <c r="L52" s="2" t="inlineStr">
        <is>
          <t>GlowyBlack</t>
        </is>
      </c>
      <c r="M52" s="2" t="inlineStr">
        <is>
          <t>MERGED</t>
        </is>
      </c>
      <c r="N52" s="3" t="n">
        <v>1</v>
      </c>
      <c r="O52" s="2" t="inlineStr">
        <is>
          <t>#345</t>
        </is>
      </c>
      <c r="P52" s="3" t="n">
        <v>4.98</v>
      </c>
      <c r="Q52" s="3" t="n">
        <v>4.98</v>
      </c>
      <c r="R52" s="3" t="n">
        <v>0</v>
      </c>
      <c r="S52" s="3" t="n">
        <v>0</v>
      </c>
      <c r="T52" s="3" t="n">
        <v>4.98</v>
      </c>
      <c r="U52" s="2" t="inlineStr">
        <is>
          <t>GitHub CLI fallback</t>
        </is>
      </c>
      <c r="V52" s="2" t="inlineStr"/>
      <c r="W52" s="2" t="inlineStr">
        <is>
          <t>No explicit week; assigned to title week</t>
        </is>
      </c>
    </row>
    <row r="53">
      <c r="A53" s="2" t="inlineStr">
        <is>
          <t>May 25-31, 2026</t>
        </is>
      </c>
      <c r="B53" s="2" t="inlineStr">
        <is>
          <t>superbolt08</t>
        </is>
      </c>
      <c r="C53" s="3" t="n">
        <v>4</v>
      </c>
      <c r="D53" s="2" t="inlineStr">
        <is>
          <t>Verified - closing PR found</t>
        </is>
      </c>
      <c r="E53" s="3" t="n">
        <v>182</v>
      </c>
      <c r="F53" s="3">
        <f>HYPERLINK("https://github.com/EduAI-Lab/EduAI/issues/182","#182")</f>
        <v/>
      </c>
      <c r="G53" s="2" t="inlineStr">
        <is>
          <t>S: Week 3,4 - Extend Prisma schema for routing telemetry</t>
        </is>
      </c>
      <c r="H53" s="2" t="inlineStr">
        <is>
          <t>Hours to complete (Week 4): 4 hours [Syed Saad Ali]</t>
        </is>
      </c>
      <c r="I53" s="3" t="n">
        <v>320</v>
      </c>
      <c r="J53" s="3">
        <f>HYPERLINK("https://github.com/EduAI-Lab/EduAI/pull/320","#320")</f>
        <v/>
      </c>
      <c r="K53" s="2" t="inlineStr">
        <is>
          <t>feat(core): Prisma schema for routing and energy telemetry</t>
        </is>
      </c>
      <c r="L53" s="2" t="inlineStr">
        <is>
          <t>superbolt08</t>
        </is>
      </c>
      <c r="M53" s="2" t="inlineStr">
        <is>
          <t>MERGED</t>
        </is>
      </c>
      <c r="N53" s="3" t="n">
        <v>1</v>
      </c>
      <c r="O53" s="2" t="inlineStr">
        <is>
          <t>#182</t>
        </is>
      </c>
      <c r="P53" s="3" t="n">
        <v>2.74</v>
      </c>
      <c r="Q53" s="3" t="n">
        <v>143.26</v>
      </c>
      <c r="R53" s="3" t="n">
        <v>1</v>
      </c>
      <c r="S53" s="3" t="n">
        <v>3</v>
      </c>
      <c r="T53" s="3" t="n">
        <v>166.6</v>
      </c>
      <c r="U53" s="2" t="inlineStr">
        <is>
          <t>GitHub CLI fallback</t>
        </is>
      </c>
      <c r="V53" s="2" t="inlineStr"/>
      <c r="W53" s="2" t="inlineStr">
        <is>
          <t>Manual parser accepted explicit hours syntax</t>
        </is>
      </c>
    </row>
    <row r="54">
      <c r="A54" s="4" t="inlineStr">
        <is>
          <t>May 25-31, 2026</t>
        </is>
      </c>
      <c r="B54" s="4" t="inlineStr">
        <is>
          <t>superbolt08</t>
        </is>
      </c>
      <c r="C54" s="5" t="n">
        <v>8</v>
      </c>
      <c r="D54" s="4" t="inlineStr">
        <is>
          <t>Reported unverified - no closing PR found</t>
        </is>
      </c>
      <c r="E54" s="5" t="n">
        <v>197</v>
      </c>
      <c r="F54" s="5">
        <f>HYPERLINK("https://github.com/EduAI-Lab/EduAI/issues/197","#197")</f>
        <v/>
      </c>
      <c r="G54" s="4" t="inlineStr">
        <is>
          <t>Parent Issue: Week 4 - Phase 0 routing MVP (telemetry, Auto router)</t>
        </is>
      </c>
      <c r="H54" s="4" t="inlineStr">
        <is>
          <t>Hours to complete (Week 4): 8 hours [Syed Saad Ali]</t>
        </is>
      </c>
      <c r="I54" s="4" t="inlineStr"/>
      <c r="J54" s="4" t="inlineStr"/>
      <c r="K54" s="4" t="inlineStr"/>
      <c r="L54" s="4" t="inlineStr"/>
      <c r="M54" s="4" t="inlineStr"/>
      <c r="N54" s="5" t="n">
        <v>0</v>
      </c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>
        <is>
          <t>YES - no closing PR found</t>
        </is>
      </c>
      <c r="W54" s="4" t="inlineStr">
        <is>
          <t>Manual parser accepted explicit hours syntax</t>
        </is>
      </c>
    </row>
    <row r="55">
      <c r="A55" s="4" t="inlineStr">
        <is>
          <t>May 25-31, 2026</t>
        </is>
      </c>
      <c r="B55" s="4" t="inlineStr">
        <is>
          <t>superbolt08</t>
        </is>
      </c>
      <c r="C55" s="5" t="n">
        <v>2</v>
      </c>
      <c r="D55" s="4" t="inlineStr">
        <is>
          <t>Verified but needs manual review</t>
        </is>
      </c>
      <c r="E55" s="5" t="n">
        <v>269</v>
      </c>
      <c r="F55" s="5">
        <f>HYPERLINK("https://github.com/EduAI-Lab/EduAI/issues/269","#269")</f>
        <v/>
      </c>
      <c r="G55" s="4" t="inlineStr">
        <is>
          <t>S: Week 4 - Get embedding API Key</t>
        </is>
      </c>
      <c r="H55" s="4" t="inlineStr">
        <is>
          <t>Hours to complete (Week 4): 2 hours [Syed Saad Ali]</t>
        </is>
      </c>
      <c r="I55" s="5" t="n">
        <v>356</v>
      </c>
      <c r="J55" s="5">
        <f>HYPERLINK("https://github.com/EduAI-Lab/EduAI/pull/356","#356")</f>
        <v/>
      </c>
      <c r="K55" s="4" t="inlineStr">
        <is>
          <t>feat(core): OpenRouter embeddings and HTTPS dev auth session fixes</t>
        </is>
      </c>
      <c r="L55" s="4" t="inlineStr">
        <is>
          <t>superbolt08</t>
        </is>
      </c>
      <c r="M55" s="4" t="inlineStr">
        <is>
          <t>MERGED</t>
        </is>
      </c>
      <c r="N55" s="5" t="n">
        <v>2</v>
      </c>
      <c r="O55" s="4" t="inlineStr">
        <is>
          <t>#269, #357</t>
        </is>
      </c>
      <c r="P55" s="5" t="n">
        <v>23.86</v>
      </c>
      <c r="Q55" s="5" t="n">
        <v>23.86</v>
      </c>
      <c r="R55" s="5" t="n">
        <v>3</v>
      </c>
      <c r="S55" s="5" t="n">
        <v>0</v>
      </c>
      <c r="T55" s="5" t="n">
        <v>71.63</v>
      </c>
      <c r="U55" s="4" t="inlineStr">
        <is>
          <t>GitHub CLI fallback</t>
        </is>
      </c>
      <c r="V55" s="4" t="inlineStr">
        <is>
          <t>YES - PR closes 2 issues</t>
        </is>
      </c>
      <c r="W55" s="4" t="inlineStr">
        <is>
          <t>Manual parser accepted explicit hours syntax</t>
        </is>
      </c>
    </row>
    <row r="56">
      <c r="A56" s="4" t="inlineStr">
        <is>
          <t>May 25-31, 2026</t>
        </is>
      </c>
      <c r="B56" s="4" t="inlineStr">
        <is>
          <t>superbolt08</t>
        </is>
      </c>
      <c r="C56" s="5" t="n">
        <v>2</v>
      </c>
      <c r="D56" s="4" t="inlineStr">
        <is>
          <t>Verified but needs manual review</t>
        </is>
      </c>
      <c r="E56" s="5" t="n">
        <v>357</v>
      </c>
      <c r="F56" s="5">
        <f>HYPERLINK("https://github.com/EduAI-Lab/EduAI/issues/357","#357")</f>
        <v/>
      </c>
      <c r="G56" s="4" t="inlineStr">
        <is>
          <t>S: Week 4 - Fix HTTPS dev login/logout session cookies (Better Auth)</t>
        </is>
      </c>
      <c r="H56" s="4" t="inlineStr">
        <is>
          <t>Hours to complete (Week 4): 2 hours [Syed Saad Ali]</t>
        </is>
      </c>
      <c r="I56" s="5" t="n">
        <v>356</v>
      </c>
      <c r="J56" s="5">
        <f>HYPERLINK("https://github.com/EduAI-Lab/EduAI/pull/356","#356")</f>
        <v/>
      </c>
      <c r="K56" s="4" t="inlineStr">
        <is>
          <t>feat(core): OpenRouter embeddings and HTTPS dev auth session fixes</t>
        </is>
      </c>
      <c r="L56" s="4" t="inlineStr">
        <is>
          <t>superbolt08</t>
        </is>
      </c>
      <c r="M56" s="4" t="inlineStr">
        <is>
          <t>MERGED</t>
        </is>
      </c>
      <c r="N56" s="5" t="n">
        <v>2</v>
      </c>
      <c r="O56" s="4" t="inlineStr">
        <is>
          <t>#269, #357</t>
        </is>
      </c>
      <c r="P56" s="5" t="n">
        <v>23.86</v>
      </c>
      <c r="Q56" s="5" t="n">
        <v>23.86</v>
      </c>
      <c r="R56" s="5" t="n">
        <v>3</v>
      </c>
      <c r="S56" s="5" t="n">
        <v>0</v>
      </c>
      <c r="T56" s="5" t="n">
        <v>71.63</v>
      </c>
      <c r="U56" s="4" t="inlineStr">
        <is>
          <t>GitHub CLI fallback</t>
        </is>
      </c>
      <c r="V56" s="4" t="inlineStr">
        <is>
          <t>YES - PR closes 2 issues</t>
        </is>
      </c>
      <c r="W56" s="4" t="inlineStr">
        <is>
          <t>Manual parser accepted explicit hours syntax</t>
        </is>
      </c>
    </row>
    <row r="57">
      <c r="A57" s="4" t="inlineStr">
        <is>
          <t>May 25-31, 2026</t>
        </is>
      </c>
      <c r="B57" s="4" t="inlineStr">
        <is>
          <t>superbolt08</t>
        </is>
      </c>
      <c r="C57" s="5" t="n">
        <v>12</v>
      </c>
      <c r="D57" s="4" t="inlineStr">
        <is>
          <t>Verified but needs manual review</t>
        </is>
      </c>
      <c r="E57" s="5" t="n">
        <v>359</v>
      </c>
      <c r="F57" s="5">
        <f>HYPERLINK("https://github.com/EduAI-Lab/EduAI/issues/359","#359")</f>
        <v/>
      </c>
      <c r="G57" s="4" t="inlineStr">
        <is>
          <t>L: Week 4,5 - Latency logging</t>
        </is>
      </c>
      <c r="H57" s="4" t="inlineStr">
        <is>
          <t>Hours to complete (Week 4): 12hours [Syed]</t>
        </is>
      </c>
      <c r="I57" s="5" t="n">
        <v>383</v>
      </c>
      <c r="J57" s="5">
        <f>HYPERLINK("https://github.com/EduAI-Lab/EduAI/pull/383","#383")</f>
        <v/>
      </c>
      <c r="K57" s="4" t="inlineStr">
        <is>
          <t>docs: EduAI chat latency findings (summer 2026)</t>
        </is>
      </c>
      <c r="L57" s="4" t="inlineStr">
        <is>
          <t>superbolt08</t>
        </is>
      </c>
      <c r="M57" s="4" t="inlineStr">
        <is>
          <t>OPEN</t>
        </is>
      </c>
      <c r="N57" s="5" t="n">
        <v>2</v>
      </c>
      <c r="O57" s="4" t="inlineStr">
        <is>
          <t>#359, #419</t>
        </is>
      </c>
      <c r="P57" s="5" t="n">
        <v>1.21</v>
      </c>
      <c r="Q57" s="5" t="n">
        <v>65.18000000000001</v>
      </c>
      <c r="R57" s="5" t="n">
        <v>1</v>
      </c>
      <c r="S57" s="5" t="n">
        <v>1</v>
      </c>
      <c r="T57" s="4" t="inlineStr"/>
      <c r="U57" s="4" t="inlineStr">
        <is>
          <t>GitHub CLI fallback</t>
        </is>
      </c>
      <c r="V57" s="4" t="inlineStr">
        <is>
          <t>YES - PR closes 2 issues</t>
        </is>
      </c>
      <c r="W57" s="4" t="inlineStr">
        <is>
          <t>Manual parser accepted explicit hours syntax</t>
        </is>
      </c>
    </row>
    <row r="58">
      <c r="A58" s="2" t="inlineStr">
        <is>
          <t>May 25-31, 2026</t>
        </is>
      </c>
      <c r="B58" s="2" t="inlineStr">
        <is>
          <t>yta3216</t>
        </is>
      </c>
      <c r="C58" s="3" t="n">
        <v>6</v>
      </c>
      <c r="D58" s="2" t="inlineStr">
        <is>
          <t>Verified - closing PR found</t>
        </is>
      </c>
      <c r="E58" s="3" t="n">
        <v>218</v>
      </c>
      <c r="F58" s="3">
        <f>HYPERLINK("https://github.com/EduAI-Lab/EduAI/issues/218","#218")</f>
        <v/>
      </c>
      <c r="G58" s="2" t="inlineStr">
        <is>
          <t>L: Week 3,4 - Identify and implement reusable UI components and UBC assets</t>
        </is>
      </c>
      <c r="H58" s="2" t="inlineStr">
        <is>
          <t>Hours to complete (Week 4): 6 hours [Ye]</t>
        </is>
      </c>
      <c r="I58" s="3" t="n">
        <v>376</v>
      </c>
      <c r="J58" s="3">
        <f>HYPERLINK("https://github.com/EduAI-Lab/EduAI/pull/376","#376")</f>
        <v/>
      </c>
      <c r="K58" s="2" t="inlineStr">
        <is>
          <t>docs: added shared component library audit .md file</t>
        </is>
      </c>
      <c r="L58" s="2" t="inlineStr">
        <is>
          <t>yta3216</t>
        </is>
      </c>
      <c r="M58" s="2" t="inlineStr">
        <is>
          <t>OPEN</t>
        </is>
      </c>
      <c r="N58" s="3" t="n">
        <v>1</v>
      </c>
      <c r="O58" s="2" t="inlineStr">
        <is>
          <t>#218</t>
        </is>
      </c>
      <c r="P58" s="3" t="n">
        <v>3.84</v>
      </c>
      <c r="Q58" s="2" t="inlineStr"/>
      <c r="R58" s="3" t="n">
        <v>1</v>
      </c>
      <c r="S58" s="3" t="n">
        <v>1</v>
      </c>
      <c r="T58" s="2" t="inlineStr"/>
      <c r="U58" s="2" t="inlineStr">
        <is>
          <t>GitHub CLI fallback</t>
        </is>
      </c>
      <c r="V58" s="2" t="inlineStr"/>
      <c r="W58" s="2" t="inlineStr">
        <is>
          <t>Manual parser accepted explicit hours syntax</t>
        </is>
      </c>
    </row>
    <row r="59">
      <c r="A59" s="2" t="inlineStr">
        <is>
          <t>May 25-31, 2026</t>
        </is>
      </c>
      <c r="B59" s="2" t="inlineStr">
        <is>
          <t>yta3216</t>
        </is>
      </c>
      <c r="C59" s="3" t="n">
        <v>11</v>
      </c>
      <c r="D59" s="2" t="inlineStr">
        <is>
          <t>Verified - closing PR found</t>
        </is>
      </c>
      <c r="E59" s="3" t="n">
        <v>229</v>
      </c>
      <c r="F59" s="3">
        <f>HYPERLINK("https://github.com/EduAI-Lab/EduAI/issues/229","#229")</f>
        <v/>
      </c>
      <c r="G59" s="2" t="inlineStr">
        <is>
          <t>L: Week 4 - Dockerize All Tests</t>
        </is>
      </c>
      <c r="H59" s="2" t="inlineStr">
        <is>
          <t>Hours to complete (Week 4) [Ye]: 11 hours</t>
        </is>
      </c>
      <c r="I59" s="3" t="n">
        <v>352</v>
      </c>
      <c r="J59" s="3">
        <f>HYPERLINK("https://github.com/EduAI-Lab/EduAI/pull/352","#352")</f>
        <v/>
      </c>
      <c r="K59" s="2" t="inlineStr">
        <is>
          <t>test: Setup Docker and Playwright for testing and fix existing tests</t>
        </is>
      </c>
      <c r="L59" s="2" t="inlineStr">
        <is>
          <t>yta3216</t>
        </is>
      </c>
      <c r="M59" s="2" t="inlineStr">
        <is>
          <t>MERGED</t>
        </is>
      </c>
      <c r="N59" s="3" t="n">
        <v>1</v>
      </c>
      <c r="O59" s="2" t="inlineStr">
        <is>
          <t>#229</t>
        </is>
      </c>
      <c r="P59" s="3" t="n">
        <v>10.27</v>
      </c>
      <c r="Q59" s="3" t="n">
        <v>84.51000000000001</v>
      </c>
      <c r="R59" s="3" t="n">
        <v>11</v>
      </c>
      <c r="S59" s="3" t="n">
        <v>1</v>
      </c>
      <c r="T59" s="3" t="n">
        <v>118.32</v>
      </c>
      <c r="U59" s="2" t="inlineStr">
        <is>
          <t>GitHub CLI fallback</t>
        </is>
      </c>
      <c r="V59" s="2" t="inlineStr"/>
      <c r="W59" s="2" t="inlineStr">
        <is>
          <t>Manual parser accepted explicit hours syntax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5" customWidth="1" min="4" max="4"/>
    <col width="12" customWidth="1" min="5" max="5"/>
    <col width="22" customWidth="1" min="6" max="6"/>
    <col width="22" customWidth="1" min="7" max="7"/>
    <col width="22" customWidth="1" min="8" max="8"/>
    <col width="21" customWidth="1" min="9" max="9"/>
    <col width="36" customWidth="1" min="10" max="10"/>
    <col width="28" customWidth="1" min="11" max="11"/>
    <col width="24" customWidth="1" min="12" max="12"/>
    <col width="12" customWidth="1" min="13" max="13"/>
    <col width="19" customWidth="1" min="14" max="14"/>
    <col width="21" customWidth="1" min="15" max="15"/>
    <col width="14" customWidth="1" min="16" max="16"/>
    <col width="16" customWidth="1" min="17" max="17"/>
    <col width="41" customWidth="1" min="18" max="18"/>
  </cols>
  <sheetData>
    <row r="1">
      <c r="A1" s="1" t="inlineStr">
        <is>
          <t>pr_number</t>
        </is>
      </c>
      <c r="B1" s="1" t="inlineStr">
        <is>
          <t>pr_link</t>
        </is>
      </c>
      <c r="C1" s="1" t="inlineStr">
        <is>
          <t>pr_title</t>
        </is>
      </c>
      <c r="D1" s="1" t="inlineStr">
        <is>
          <t>author</t>
        </is>
      </c>
      <c r="E1" s="1" t="inlineStr">
        <is>
          <t>state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closed_at</t>
        </is>
      </c>
      <c r="I1" s="1" t="inlineStr">
        <is>
          <t>closing_issue_count</t>
        </is>
      </c>
      <c r="J1" s="1" t="inlineStr">
        <is>
          <t>closing_issues</t>
        </is>
      </c>
      <c r="K1" s="1" t="inlineStr">
        <is>
          <t>time_to_first_review_hours</t>
        </is>
      </c>
      <c r="L1" s="1" t="inlineStr">
        <is>
          <t>time_to_approval_hours</t>
        </is>
      </c>
      <c r="M1" s="1" t="inlineStr">
        <is>
          <t>comments</t>
        </is>
      </c>
      <c r="N1" s="1" t="inlineStr">
        <is>
          <t>changes_requested</t>
        </is>
      </c>
      <c r="O1" s="1" t="inlineStr">
        <is>
          <t>pr_cycle_time_hours</t>
        </is>
      </c>
      <c r="P1" s="1" t="inlineStr">
        <is>
          <t>review_count</t>
        </is>
      </c>
      <c r="Q1" s="1" t="inlineStr">
        <is>
          <t>approval_count</t>
        </is>
      </c>
      <c r="R1" s="1" t="inlineStr">
        <is>
          <t>metric_source</t>
        </is>
      </c>
    </row>
    <row r="2">
      <c r="A2" s="3" t="n">
        <v>124</v>
      </c>
      <c r="B2" s="3">
        <f>HYPERLINK("https://github.com/EduAI-Lab/EduAI/pull/124","#124")</f>
        <v/>
      </c>
      <c r="C2" s="2" t="inlineStr">
        <is>
          <t>Migrated AI-tutor to use npm instead of bun</t>
        </is>
      </c>
      <c r="D2" s="2" t="inlineStr">
        <is>
          <t>abdullahmoh21</t>
        </is>
      </c>
      <c r="E2" s="2" t="inlineStr">
        <is>
          <t>MERGED</t>
        </is>
      </c>
      <c r="F2" s="2" t="inlineStr">
        <is>
          <t>2026-05-12T23:48:18Z</t>
        </is>
      </c>
      <c r="G2" s="2" t="inlineStr">
        <is>
          <t>2026-05-16T01:33:56Z</t>
        </is>
      </c>
      <c r="H2" s="2" t="inlineStr">
        <is>
          <t>2026-05-16T01:33:56Z</t>
        </is>
      </c>
      <c r="I2" s="3" t="n">
        <v>1</v>
      </c>
      <c r="J2" s="2" t="inlineStr">
        <is>
          <t>#121</t>
        </is>
      </c>
      <c r="K2" s="3" t="n">
        <v>0.29</v>
      </c>
      <c r="L2" s="3" t="n">
        <v>0.29</v>
      </c>
      <c r="M2" s="3" t="n">
        <v>3</v>
      </c>
      <c r="N2" s="3" t="n">
        <v>2</v>
      </c>
      <c r="O2" s="3" t="n">
        <v>73.76000000000001</v>
      </c>
      <c r="P2" s="3" t="n">
        <v>5</v>
      </c>
      <c r="Q2" s="3" t="n">
        <v>3</v>
      </c>
      <c r="R2" s="2" t="inlineStr">
        <is>
          <t>GitHub CLI fallback</t>
        </is>
      </c>
    </row>
    <row r="3">
      <c r="A3" s="3" t="n">
        <v>157</v>
      </c>
      <c r="B3" s="3">
        <f>HYPERLINK("https://github.com/EduAI-Lab/EduAI/pull/157","#157")</f>
        <v/>
      </c>
      <c r="C3" s="2" t="inlineStr">
        <is>
          <t>Added doc on deployment strategy</t>
        </is>
      </c>
      <c r="D3" s="2" t="inlineStr">
        <is>
          <t>abdullahmoh21</t>
        </is>
      </c>
      <c r="E3" s="2" t="inlineStr">
        <is>
          <t>MERGED</t>
        </is>
      </c>
      <c r="F3" s="2" t="inlineStr">
        <is>
          <t>2026-05-15T05:11:49Z</t>
        </is>
      </c>
      <c r="G3" s="2" t="inlineStr">
        <is>
          <t>2026-05-20T18:23:43Z</t>
        </is>
      </c>
      <c r="H3" s="2" t="inlineStr">
        <is>
          <t>2026-05-20T18:23:43Z</t>
        </is>
      </c>
      <c r="I3" s="3" t="n">
        <v>1</v>
      </c>
      <c r="J3" s="2" t="inlineStr">
        <is>
          <t>#154</t>
        </is>
      </c>
      <c r="K3" s="3" t="n">
        <v>1.07</v>
      </c>
      <c r="L3" s="3" t="n">
        <v>132.13</v>
      </c>
      <c r="M3" s="3" t="n">
        <v>2</v>
      </c>
      <c r="N3" s="3" t="n">
        <v>4</v>
      </c>
      <c r="O3" s="3" t="n">
        <v>133.2</v>
      </c>
      <c r="P3" s="3" t="n">
        <v>6</v>
      </c>
      <c r="Q3" s="3" t="n">
        <v>2</v>
      </c>
      <c r="R3" s="2" t="inlineStr">
        <is>
          <t>PR analytics artifact + GitHub fallback</t>
        </is>
      </c>
    </row>
    <row r="4">
      <c r="A4" s="3" t="n">
        <v>176</v>
      </c>
      <c r="B4" s="3">
        <f>HYPERLINK("https://github.com/EduAI-Lab/EduAI/pull/176","#176")</f>
        <v/>
      </c>
      <c r="C4" s="2" t="inlineStr">
        <is>
          <t>Add weekly team time reporting automation</t>
        </is>
      </c>
      <c r="D4" s="2" t="inlineStr">
        <is>
          <t>Whiteknight07</t>
        </is>
      </c>
      <c r="E4" s="2" t="inlineStr">
        <is>
          <t>MERGED</t>
        </is>
      </c>
      <c r="F4" s="2" t="inlineStr">
        <is>
          <t>2026-05-16T06:10:26Z</t>
        </is>
      </c>
      <c r="G4" s="2" t="inlineStr">
        <is>
          <t>2026-05-20T02:09:44Z</t>
        </is>
      </c>
      <c r="H4" s="2" t="inlineStr">
        <is>
          <t>2026-05-20T02:09:44Z</t>
        </is>
      </c>
      <c r="I4" s="3" t="n">
        <v>1</v>
      </c>
      <c r="J4" s="2" t="inlineStr">
        <is>
          <t>#179</t>
        </is>
      </c>
      <c r="K4" s="3" t="n">
        <v>11.65</v>
      </c>
      <c r="L4" s="3" t="n">
        <v>80.31999999999999</v>
      </c>
      <c r="M4" s="3" t="n">
        <v>1</v>
      </c>
      <c r="N4" s="3" t="n">
        <v>2</v>
      </c>
      <c r="O4" s="3" t="n">
        <v>91.98999999999999</v>
      </c>
      <c r="P4" s="3" t="n">
        <v>6</v>
      </c>
      <c r="Q4" s="3" t="n">
        <v>2</v>
      </c>
      <c r="R4" s="2" t="inlineStr">
        <is>
          <t>PR analytics artifact + GitHub fallback</t>
        </is>
      </c>
    </row>
    <row r="5">
      <c r="A5" s="3" t="n">
        <v>198</v>
      </c>
      <c r="B5" s="3">
        <f>HYPERLINK("https://github.com/EduAI-Lab/EduAI/pull/198","#198")</f>
        <v/>
      </c>
      <c r="C5" s="2" t="inlineStr">
        <is>
          <t>Added cross-app RBAC permission matrix</t>
        </is>
      </c>
      <c r="D5" s="2" t="inlineStr">
        <is>
          <t>abdullahmoh21</t>
        </is>
      </c>
      <c r="E5" s="2" t="inlineStr">
        <is>
          <t>MERGED</t>
        </is>
      </c>
      <c r="F5" s="2" t="inlineStr">
        <is>
          <t>2026-05-18T20:46:31Z</t>
        </is>
      </c>
      <c r="G5" s="2" t="inlineStr">
        <is>
          <t>2026-05-21T21:13:02Z</t>
        </is>
      </c>
      <c r="H5" s="2" t="inlineStr">
        <is>
          <t>2026-05-21T21:13:02Z</t>
        </is>
      </c>
      <c r="I5" s="3" t="n">
        <v>1</v>
      </c>
      <c r="J5" s="2" t="inlineStr">
        <is>
          <t>#181</t>
        </is>
      </c>
      <c r="K5" s="3" t="n">
        <v>3.25</v>
      </c>
      <c r="L5" s="3" t="n">
        <v>69.17</v>
      </c>
      <c r="M5" s="3" t="n">
        <v>2</v>
      </c>
      <c r="N5" s="3" t="n">
        <v>3</v>
      </c>
      <c r="O5" s="3" t="n">
        <v>72.44</v>
      </c>
      <c r="P5" s="3" t="n">
        <v>8</v>
      </c>
      <c r="Q5" s="3" t="n">
        <v>2</v>
      </c>
      <c r="R5" s="2" t="inlineStr">
        <is>
          <t>PR analytics artifact + GitHub fallback</t>
        </is>
      </c>
    </row>
    <row r="6">
      <c r="A6" s="3" t="n">
        <v>199</v>
      </c>
      <c r="B6" s="3">
        <f>HYPERLINK("https://github.com/EduAI-Lab/EduAI/pull/199","#199")</f>
        <v/>
      </c>
      <c r="C6" s="2" t="inlineStr">
        <is>
          <t>Fixed ai-tutor test structure and populated TESTS.md</t>
        </is>
      </c>
      <c r="D6" s="2" t="inlineStr">
        <is>
          <t>GlowyBlack</t>
        </is>
      </c>
      <c r="E6" s="2" t="inlineStr">
        <is>
          <t>MERGED</t>
        </is>
      </c>
      <c r="F6" s="2" t="inlineStr">
        <is>
          <t>2026-05-19T01:14:24Z</t>
        </is>
      </c>
      <c r="G6" s="2" t="inlineStr">
        <is>
          <t>2026-05-20T22:26:17Z</t>
        </is>
      </c>
      <c r="H6" s="2" t="inlineStr">
        <is>
          <t>2026-05-20T22:26:17Z</t>
        </is>
      </c>
      <c r="I6" s="3" t="n">
        <v>1</v>
      </c>
      <c r="J6" s="2" t="inlineStr">
        <is>
          <t>#200</t>
        </is>
      </c>
      <c r="K6" s="3" t="n">
        <v>2.3</v>
      </c>
      <c r="L6" s="3" t="n">
        <v>42.63</v>
      </c>
      <c r="M6" s="3" t="n">
        <v>0</v>
      </c>
      <c r="N6" s="3" t="n">
        <v>2</v>
      </c>
      <c r="O6" s="3" t="n">
        <v>45.2</v>
      </c>
      <c r="P6" s="3" t="n">
        <v>13</v>
      </c>
      <c r="Q6" s="3" t="n">
        <v>2</v>
      </c>
      <c r="R6" s="2" t="inlineStr">
        <is>
          <t>PR analytics artifact + GitHub fallback</t>
        </is>
      </c>
    </row>
    <row r="7">
      <c r="A7" s="3" t="n">
        <v>233</v>
      </c>
      <c r="B7" s="3">
        <f>HYPERLINK("https://github.com/EduAI-Lab/EduAI/pull/233","#233")</f>
        <v/>
      </c>
      <c r="C7" s="2" t="inlineStr">
        <is>
          <t>feat(core): ADHD Assist toggle plumbing (Phase 1)</t>
        </is>
      </c>
      <c r="D7" s="2" t="inlineStr">
        <is>
          <t>Ayyhab</t>
        </is>
      </c>
      <c r="E7" s="2" t="inlineStr">
        <is>
          <t>MERGED</t>
        </is>
      </c>
      <c r="F7" s="2" t="inlineStr">
        <is>
          <t>2026-05-20T18:20:25Z</t>
        </is>
      </c>
      <c r="G7" s="2" t="inlineStr">
        <is>
          <t>2026-05-22T22:39:53Z</t>
        </is>
      </c>
      <c r="H7" s="2" t="inlineStr">
        <is>
          <t>2026-05-22T22:39:53Z</t>
        </is>
      </c>
      <c r="I7" s="3" t="n">
        <v>1</v>
      </c>
      <c r="J7" s="2" t="inlineStr">
        <is>
          <t>#151</t>
        </is>
      </c>
      <c r="K7" s="3" t="n">
        <v>0.68</v>
      </c>
      <c r="L7" s="3" t="n">
        <v>51.63</v>
      </c>
      <c r="M7" s="3" t="n">
        <v>1</v>
      </c>
      <c r="N7" s="3" t="n">
        <v>1</v>
      </c>
      <c r="O7" s="3" t="n">
        <v>52.32</v>
      </c>
      <c r="P7" s="3" t="n">
        <v>3</v>
      </c>
      <c r="Q7" s="3" t="n">
        <v>2</v>
      </c>
      <c r="R7" s="2" t="inlineStr">
        <is>
          <t>PR analytics artifact + GitHub fallback</t>
        </is>
      </c>
    </row>
    <row r="8">
      <c r="A8" s="3" t="n">
        <v>236</v>
      </c>
      <c r="B8" s="3">
        <f>HYPERLINK("https://github.com/EduAI-Lab/EduAI/pull/236","#236")</f>
        <v/>
      </c>
      <c r="C8" s="2" t="inlineStr">
        <is>
          <t>feat: Basic CI workflow, update dev scripts to cleanup stale DBs</t>
        </is>
      </c>
      <c r="D8" s="2" t="inlineStr">
        <is>
          <t>evanbones</t>
        </is>
      </c>
      <c r="E8" s="2" t="inlineStr">
        <is>
          <t>MERGED</t>
        </is>
      </c>
      <c r="F8" s="2" t="inlineStr">
        <is>
          <t>2026-05-20T18:49:16Z</t>
        </is>
      </c>
      <c r="G8" s="2" t="inlineStr">
        <is>
          <t>2026-05-21T20:53:21Z</t>
        </is>
      </c>
      <c r="H8" s="2" t="inlineStr">
        <is>
          <t>2026-05-21T20:53:21Z</t>
        </is>
      </c>
      <c r="I8" s="3" t="n">
        <v>1</v>
      </c>
      <c r="J8" s="2" t="inlineStr">
        <is>
          <t>#84</t>
        </is>
      </c>
      <c r="K8" s="3" t="n">
        <v>1.88</v>
      </c>
      <c r="L8" s="3" t="n">
        <v>24.13</v>
      </c>
      <c r="M8" s="3" t="n">
        <v>0</v>
      </c>
      <c r="N8" s="3" t="n">
        <v>3</v>
      </c>
      <c r="O8" s="3" t="n">
        <v>26.07</v>
      </c>
      <c r="P8" s="3" t="n">
        <v>7</v>
      </c>
      <c r="Q8" s="3" t="n">
        <v>2</v>
      </c>
      <c r="R8" s="2" t="inlineStr">
        <is>
          <t>PR analytics artifact + GitHub fallback</t>
        </is>
      </c>
    </row>
    <row r="9">
      <c r="A9" s="3" t="n">
        <v>237</v>
      </c>
      <c r="B9" s="3">
        <f>HYPERLINK("https://github.com/EduAI-Lab/EduAI/pull/237","#237")</f>
        <v/>
      </c>
      <c r="C9" s="2" t="inlineStr">
        <is>
          <t>Added unified schema + required api's doc</t>
        </is>
      </c>
      <c r="D9" s="2" t="inlineStr">
        <is>
          <t>abdullahmoh21</t>
        </is>
      </c>
      <c r="E9" s="2" t="inlineStr">
        <is>
          <t>MERGED</t>
        </is>
      </c>
      <c r="F9" s="2" t="inlineStr">
        <is>
          <t>2026-05-20T19:23:23Z</t>
        </is>
      </c>
      <c r="G9" s="2" t="inlineStr">
        <is>
          <t>2026-05-22T00:43:07Z</t>
        </is>
      </c>
      <c r="H9" s="2" t="inlineStr">
        <is>
          <t>2026-05-22T00:43:07Z</t>
        </is>
      </c>
      <c r="I9" s="3" t="n">
        <v>2</v>
      </c>
      <c r="J9" s="2" t="inlineStr">
        <is>
          <t>#231, #239</t>
        </is>
      </c>
      <c r="K9" s="3" t="n">
        <v>25.57</v>
      </c>
      <c r="L9" s="3" t="n">
        <v>25.58</v>
      </c>
      <c r="M9" s="3" t="n">
        <v>0</v>
      </c>
      <c r="N9" s="3" t="n">
        <v>0</v>
      </c>
      <c r="O9" s="3" t="n">
        <v>29.33</v>
      </c>
      <c r="P9" s="3" t="n">
        <v>2</v>
      </c>
      <c r="Q9" s="3" t="n">
        <v>2</v>
      </c>
      <c r="R9" s="2" t="inlineStr">
        <is>
          <t>PR analytics artifact + GitHub fallback</t>
        </is>
      </c>
    </row>
    <row r="10">
      <c r="A10" s="3" t="n">
        <v>268</v>
      </c>
      <c r="B10" s="3">
        <f>HYPERLINK("https://github.com/EduAI-Lab/EduAI/pull/268","#268")</f>
        <v/>
      </c>
      <c r="C10" s="2" t="inlineStr">
        <is>
          <t>chore: Removed old package-locks and added them to .gitignore</t>
        </is>
      </c>
      <c r="D10" s="2" t="inlineStr">
        <is>
          <t>yta3216</t>
        </is>
      </c>
      <c r="E10" s="2" t="inlineStr">
        <is>
          <t>MERGED</t>
        </is>
      </c>
      <c r="F10" s="2" t="inlineStr">
        <is>
          <t>2026-05-21T00:19:34Z</t>
        </is>
      </c>
      <c r="G10" s="2" t="inlineStr">
        <is>
          <t>2026-05-21T00:43:30Z</t>
        </is>
      </c>
      <c r="H10" s="2" t="inlineStr">
        <is>
          <t>2026-05-21T00:43:30Z</t>
        </is>
      </c>
      <c r="I10" s="3" t="n">
        <v>1</v>
      </c>
      <c r="J10" s="2" t="inlineStr">
        <is>
          <t>#263</t>
        </is>
      </c>
      <c r="K10" s="3" t="n">
        <v>0.18</v>
      </c>
      <c r="L10" s="3" t="n">
        <v>0.18</v>
      </c>
      <c r="M10" s="3" t="n">
        <v>0</v>
      </c>
      <c r="N10" s="3" t="n">
        <v>0</v>
      </c>
      <c r="O10" s="3" t="n">
        <v>0.4</v>
      </c>
      <c r="P10" s="3" t="n">
        <v>2</v>
      </c>
      <c r="Q10" s="3" t="n">
        <v>2</v>
      </c>
      <c r="R10" s="2" t="inlineStr">
        <is>
          <t>PR analytics artifact + GitHub fallback</t>
        </is>
      </c>
    </row>
    <row r="11">
      <c r="A11" s="3" t="n">
        <v>271</v>
      </c>
      <c r="B11" s="3">
        <f>HYPERLINK("https://github.com/EduAI-Lab/EduAI/pull/271","#271")</f>
        <v/>
      </c>
      <c r="C11" s="2" t="inlineStr">
        <is>
          <t>test(core): implement planned unit tests for apps/core</t>
        </is>
      </c>
      <c r="D11" s="2" t="inlineStr">
        <is>
          <t>GlowyBlack</t>
        </is>
      </c>
      <c r="E11" s="2" t="inlineStr">
        <is>
          <t>MERGED</t>
        </is>
      </c>
      <c r="F11" s="2" t="inlineStr">
        <is>
          <t>2026-05-21T15:22:28Z</t>
        </is>
      </c>
      <c r="G11" s="2" t="inlineStr">
        <is>
          <t>2026-05-22T01:55:02Z</t>
        </is>
      </c>
      <c r="H11" s="2" t="inlineStr">
        <is>
          <t>2026-05-22T01:55:02Z</t>
        </is>
      </c>
      <c r="I11" s="3" t="n">
        <v>1</v>
      </c>
      <c r="J11" s="2" t="inlineStr">
        <is>
          <t>#85</t>
        </is>
      </c>
      <c r="K11" s="3" t="n">
        <v>6.53</v>
      </c>
      <c r="L11" s="3" t="n">
        <v>3.23</v>
      </c>
      <c r="M11" s="3" t="n">
        <v>0</v>
      </c>
      <c r="N11" s="3" t="n">
        <v>1</v>
      </c>
      <c r="O11" s="3" t="n">
        <v>10.54</v>
      </c>
      <c r="P11" s="3" t="n">
        <v>3</v>
      </c>
      <c r="Q11" s="3" t="n">
        <v>2</v>
      </c>
      <c r="R11" s="2" t="inlineStr">
        <is>
          <t>PR analytics artifact + GitHub fallback</t>
        </is>
      </c>
    </row>
    <row r="12">
      <c r="A12" s="3" t="n">
        <v>287</v>
      </c>
      <c r="B12" s="3">
        <f>HYPERLINK("https://github.com/EduAI-Lab/EduAI/pull/287","#287")</f>
        <v/>
      </c>
      <c r="C12" s="2" t="inlineStr">
        <is>
          <t>docs: Update changelog and documentation references for embeddings</t>
        </is>
      </c>
      <c r="D12" s="2" t="inlineStr">
        <is>
          <t>superbolt08</t>
        </is>
      </c>
      <c r="E12" s="2" t="inlineStr">
        <is>
          <t>MERGED</t>
        </is>
      </c>
      <c r="F12" s="2" t="inlineStr">
        <is>
          <t>2026-05-21T22:11:35Z</t>
        </is>
      </c>
      <c r="G12" s="2" t="inlineStr">
        <is>
          <t>2026-05-22T05:03:20Z</t>
        </is>
      </c>
      <c r="H12" s="2" t="inlineStr">
        <is>
          <t>2026-05-22T05:03:20Z</t>
        </is>
      </c>
      <c r="I12" s="3" t="n">
        <v>1</v>
      </c>
      <c r="J12" s="2" t="inlineStr">
        <is>
          <t>#284</t>
        </is>
      </c>
      <c r="K12" s="3" t="n">
        <v>1.67</v>
      </c>
      <c r="L12" s="3" t="n">
        <v>1.67</v>
      </c>
      <c r="M12" s="3" t="n">
        <v>0</v>
      </c>
      <c r="N12" s="3" t="n">
        <v>0</v>
      </c>
      <c r="O12" s="3" t="n">
        <v>6.86</v>
      </c>
      <c r="P12" s="3" t="n">
        <v>3</v>
      </c>
      <c r="Q12" s="3" t="n">
        <v>2</v>
      </c>
      <c r="R12" s="2" t="inlineStr">
        <is>
          <t>PR analytics artifact + GitHub fallback</t>
        </is>
      </c>
    </row>
    <row r="13">
      <c r="A13" s="3" t="n">
        <v>289</v>
      </c>
      <c r="B13" s="3">
        <f>HYPERLINK("https://github.com/EduAI-Lab/EduAI/pull/289","#289")</f>
        <v/>
      </c>
      <c r="C13" s="2" t="inlineStr">
        <is>
          <t>docs/tooling: Add CONVENTIONS.md and make-pr AI slash command</t>
        </is>
      </c>
      <c r="D13" s="2" t="inlineStr">
        <is>
          <t>ariqmuldi</t>
        </is>
      </c>
      <c r="E13" s="2" t="inlineStr">
        <is>
          <t>MERGED</t>
        </is>
      </c>
      <c r="F13" s="2" t="inlineStr">
        <is>
          <t>2026-05-21T23:27:50Z</t>
        </is>
      </c>
      <c r="G13" s="2" t="inlineStr">
        <is>
          <t>2026-05-22T04:58:22Z</t>
        </is>
      </c>
      <c r="H13" s="2" t="inlineStr">
        <is>
          <t>2026-05-22T04:58:22Z</t>
        </is>
      </c>
      <c r="I13" s="3" t="n">
        <v>1</v>
      </c>
      <c r="J13" s="2" t="inlineStr">
        <is>
          <t>#288</t>
        </is>
      </c>
      <c r="K13" s="3" t="n">
        <v>0.15</v>
      </c>
      <c r="L13" s="3" t="n">
        <v>5.33</v>
      </c>
      <c r="M13" s="3" t="n">
        <v>1</v>
      </c>
      <c r="N13" s="3" t="n">
        <v>1</v>
      </c>
      <c r="O13" s="3" t="n">
        <v>5.51</v>
      </c>
      <c r="P13" s="3" t="n">
        <v>3</v>
      </c>
      <c r="Q13" s="3" t="n">
        <v>2</v>
      </c>
      <c r="R13" s="2" t="inlineStr">
        <is>
          <t>PR analytics artifact + GitHub fallback</t>
        </is>
      </c>
    </row>
    <row r="14">
      <c r="A14" s="3" t="n">
        <v>318</v>
      </c>
      <c r="B14" s="3">
        <f>HYPERLINK("https://github.com/EduAI-Lab/EduAI/pull/318","#318")</f>
        <v/>
      </c>
      <c r="C14" s="2" t="inlineStr">
        <is>
          <t>docs: update CONVENTIONS.md and make-pr skill with issue label, assignee, and test coverage requirements</t>
        </is>
      </c>
      <c r="D14" s="2" t="inlineStr">
        <is>
          <t>ariqmuldi</t>
        </is>
      </c>
      <c r="E14" s="2" t="inlineStr">
        <is>
          <t>MERGED</t>
        </is>
      </c>
      <c r="F14" s="2" t="inlineStr">
        <is>
          <t>2026-05-22T17:54:00Z</t>
        </is>
      </c>
      <c r="G14" s="2" t="inlineStr">
        <is>
          <t>2026-05-23T00:20:09Z</t>
        </is>
      </c>
      <c r="H14" s="2" t="inlineStr">
        <is>
          <t>2026-05-23T00:20:09Z</t>
        </is>
      </c>
      <c r="I14" s="3" t="n">
        <v>1</v>
      </c>
      <c r="J14" s="2" t="inlineStr">
        <is>
          <t>#317</t>
        </is>
      </c>
      <c r="K14" s="3" t="n">
        <v>0.58</v>
      </c>
      <c r="L14" s="3" t="n">
        <v>0.59</v>
      </c>
      <c r="M14" s="3" t="n">
        <v>0</v>
      </c>
      <c r="N14" s="3" t="n">
        <v>0</v>
      </c>
      <c r="O14" s="3" t="n">
        <v>6.44</v>
      </c>
      <c r="P14" s="3" t="n">
        <v>3</v>
      </c>
      <c r="Q14" s="3" t="n">
        <v>3</v>
      </c>
      <c r="R14" s="2" t="inlineStr">
        <is>
          <t>PR analytics artifact + GitHub fallback</t>
        </is>
      </c>
    </row>
    <row r="15">
      <c r="A15" s="3" t="n">
        <v>320</v>
      </c>
      <c r="B15" s="3">
        <f>HYPERLINK("https://github.com/EduAI-Lab/EduAI/pull/320","#320")</f>
        <v/>
      </c>
      <c r="C15" s="2" t="inlineStr">
        <is>
          <t>feat(core): Prisma schema for routing and energy telemetry</t>
        </is>
      </c>
      <c r="D15" s="2" t="inlineStr">
        <is>
          <t>superbolt08</t>
        </is>
      </c>
      <c r="E15" s="2" t="inlineStr">
        <is>
          <t>MERGED</t>
        </is>
      </c>
      <c r="F15" s="2" t="inlineStr">
        <is>
          <t>2026-05-22T19:42:16Z</t>
        </is>
      </c>
      <c r="G15" s="2" t="inlineStr">
        <is>
          <t>2026-05-29T18:18:05Z</t>
        </is>
      </c>
      <c r="H15" s="2" t="inlineStr">
        <is>
          <t>2026-05-29T18:18:05Z</t>
        </is>
      </c>
      <c r="I15" s="3" t="n">
        <v>1</v>
      </c>
      <c r="J15" s="2" t="inlineStr">
        <is>
          <t>#182</t>
        </is>
      </c>
      <c r="K15" s="3" t="n">
        <v>2.74</v>
      </c>
      <c r="L15" s="3" t="n">
        <v>143.26</v>
      </c>
      <c r="M15" s="3" t="n">
        <v>1</v>
      </c>
      <c r="N15" s="3" t="n">
        <v>3</v>
      </c>
      <c r="O15" s="3" t="n">
        <v>166.6</v>
      </c>
      <c r="P15" s="3" t="n">
        <v>9</v>
      </c>
      <c r="Q15" s="3" t="n">
        <v>2</v>
      </c>
      <c r="R15" s="2" t="inlineStr">
        <is>
          <t>GitHub CLI fallback</t>
        </is>
      </c>
    </row>
    <row r="16">
      <c r="A16" s="3" t="n">
        <v>329</v>
      </c>
      <c r="B16" s="3">
        <f>HYPERLINK("https://github.com/EduAI-Lab/EduAI/pull/329","#329")</f>
        <v/>
      </c>
      <c r="C16" s="2" t="inlineStr">
        <is>
          <t>docs: updates and fixes</t>
        </is>
      </c>
      <c r="D16" s="2" t="inlineStr">
        <is>
          <t>evanbones</t>
        </is>
      </c>
      <c r="E16" s="2" t="inlineStr">
        <is>
          <t>MERGED</t>
        </is>
      </c>
      <c r="F16" s="2" t="inlineStr">
        <is>
          <t>2026-05-22T22:09:36Z</t>
        </is>
      </c>
      <c r="G16" s="2" t="inlineStr">
        <is>
          <t>2026-05-22T22:31:45Z</t>
        </is>
      </c>
      <c r="H16" s="2" t="inlineStr">
        <is>
          <t>2026-05-22T22:31:45Z</t>
        </is>
      </c>
      <c r="I16" s="3" t="n">
        <v>1</v>
      </c>
      <c r="J16" s="2" t="inlineStr">
        <is>
          <t>#141</t>
        </is>
      </c>
      <c r="K16" s="3" t="n">
        <v>0.35</v>
      </c>
      <c r="L16" s="3" t="n">
        <v>0.35</v>
      </c>
      <c r="M16" s="3" t="n">
        <v>0</v>
      </c>
      <c r="N16" s="3" t="n">
        <v>0</v>
      </c>
      <c r="O16" s="3" t="n">
        <v>0.37</v>
      </c>
      <c r="P16" s="3" t="n">
        <v>2</v>
      </c>
      <c r="Q16" s="3" t="n">
        <v>2</v>
      </c>
      <c r="R16" s="2" t="inlineStr">
        <is>
          <t>PR analytics artifact + GitHub fallback</t>
        </is>
      </c>
    </row>
    <row r="17">
      <c r="A17" s="3" t="n">
        <v>331</v>
      </c>
      <c r="B17" s="3">
        <f>HYPERLINK("https://github.com/EduAI-Lab/EduAI/pull/331","#331")</f>
        <v/>
      </c>
      <c r="C17" s="2" t="inlineStr">
        <is>
          <t>feat: auto-seed db</t>
        </is>
      </c>
      <c r="D17" s="2" t="inlineStr">
        <is>
          <t>evanbones</t>
        </is>
      </c>
      <c r="E17" s="2" t="inlineStr">
        <is>
          <t>MERGED</t>
        </is>
      </c>
      <c r="F17" s="2" t="inlineStr">
        <is>
          <t>2026-05-22T22:42:54Z</t>
        </is>
      </c>
      <c r="G17" s="2" t="inlineStr">
        <is>
          <t>2026-05-22T22:43:44Z</t>
        </is>
      </c>
      <c r="H17" s="2" t="inlineStr">
        <is>
          <t>2026-05-22T22:43:44Z</t>
        </is>
      </c>
      <c r="I17" s="3" t="n">
        <v>1</v>
      </c>
      <c r="J17" s="2" t="inlineStr">
        <is>
          <t>#235</t>
        </is>
      </c>
      <c r="K17" s="3" t="n">
        <v>0</v>
      </c>
      <c r="L17" s="2" t="inlineStr"/>
      <c r="M17" s="3" t="n">
        <v>0</v>
      </c>
      <c r="N17" s="3" t="n">
        <v>0</v>
      </c>
      <c r="O17" s="3" t="n">
        <v>0.01</v>
      </c>
      <c r="P17" s="3" t="n">
        <v>0</v>
      </c>
      <c r="Q17" s="3" t="n">
        <v>0</v>
      </c>
      <c r="R17" s="2" t="inlineStr">
        <is>
          <t>PR analytics artifact + GitHub fallback</t>
        </is>
      </c>
    </row>
    <row r="18">
      <c r="A18" s="3" t="n">
        <v>332</v>
      </c>
      <c r="B18" s="3">
        <f>HYPERLINK("https://github.com/EduAI-Lab/EduAI/pull/332","#332")</f>
        <v/>
      </c>
      <c r="C18" s="2" t="inlineStr">
        <is>
          <t>docs: L02 chat latency baselines (#206)</t>
        </is>
      </c>
      <c r="D18" s="2" t="inlineStr">
        <is>
          <t>ebabar5</t>
        </is>
      </c>
      <c r="E18" s="2" t="inlineStr">
        <is>
          <t>CLOSED</t>
        </is>
      </c>
      <c r="F18" s="2" t="inlineStr">
        <is>
          <t>2026-05-22T22:46:55Z</t>
        </is>
      </c>
      <c r="G18" s="2" t="n"/>
      <c r="H18" s="2" t="inlineStr">
        <is>
          <t>2026-06-01T18:34:16Z</t>
        </is>
      </c>
      <c r="I18" s="3" t="n">
        <v>1</v>
      </c>
      <c r="J18" s="2" t="inlineStr">
        <is>
          <t>#206</t>
        </is>
      </c>
      <c r="K18" s="3" t="n">
        <v>31.13</v>
      </c>
      <c r="L18" s="2" t="inlineStr"/>
      <c r="M18" s="3" t="n">
        <v>3</v>
      </c>
      <c r="N18" s="3" t="n">
        <v>4</v>
      </c>
      <c r="O18" s="3" t="n">
        <v>235.79</v>
      </c>
      <c r="P18" s="3" t="n">
        <v>4</v>
      </c>
      <c r="Q18" s="3" t="n">
        <v>0</v>
      </c>
      <c r="R18" s="2" t="inlineStr">
        <is>
          <t>GitHub CLI fallback</t>
        </is>
      </c>
    </row>
    <row r="19">
      <c r="A19" s="3" t="n">
        <v>337</v>
      </c>
      <c r="B19" s="3">
        <f>HYPERLINK("https://github.com/EduAI-Lab/EduAI/pull/337","#337")</f>
        <v/>
      </c>
      <c r="C19" s="2" t="inlineStr">
        <is>
          <t>feat(core): Implement requireServiceKey guard with tests and documentation updates</t>
        </is>
      </c>
      <c r="D19" s="2" t="inlineStr">
        <is>
          <t>yta3216</t>
        </is>
      </c>
      <c r="E19" s="2" t="inlineStr">
        <is>
          <t>MERGED</t>
        </is>
      </c>
      <c r="F19" s="2" t="inlineStr">
        <is>
          <t>2026-05-23T15:47:34Z</t>
        </is>
      </c>
      <c r="G19" s="2" t="inlineStr">
        <is>
          <t>2026-05-24T06:18:25Z</t>
        </is>
      </c>
      <c r="H19" s="2" t="inlineStr">
        <is>
          <t>2026-05-24T06:18:25Z</t>
        </is>
      </c>
      <c r="I19" s="3" t="n">
        <v>1</v>
      </c>
      <c r="J19" s="2" t="inlineStr">
        <is>
          <t>#276</t>
        </is>
      </c>
      <c r="K19" s="3" t="n">
        <v>2.64</v>
      </c>
      <c r="L19" s="3" t="n">
        <v>2.64</v>
      </c>
      <c r="M19" s="3" t="n">
        <v>0</v>
      </c>
      <c r="N19" s="3" t="n">
        <v>0</v>
      </c>
      <c r="O19" s="3" t="n">
        <v>14.51</v>
      </c>
      <c r="P19" s="3" t="n">
        <v>5</v>
      </c>
      <c r="Q19" s="3" t="n">
        <v>3</v>
      </c>
      <c r="R19" s="2" t="inlineStr">
        <is>
          <t>GitHub CLI fallback</t>
        </is>
      </c>
    </row>
    <row r="20">
      <c r="A20" s="3" t="n">
        <v>338</v>
      </c>
      <c r="B20" s="3">
        <f>HYPERLINK("https://github.com/EduAI-Lab/EduAI/pull/338","#338")</f>
        <v/>
      </c>
      <c r="C20" s="2" t="inlineStr">
        <is>
          <t>Feat/platform-centralization-phase-0</t>
        </is>
      </c>
      <c r="D20" s="2" t="inlineStr">
        <is>
          <t>GlowyBlack</t>
        </is>
      </c>
      <c r="E20" s="2" t="inlineStr">
        <is>
          <t>MERGED</t>
        </is>
      </c>
      <c r="F20" s="2" t="inlineStr">
        <is>
          <t>2026-05-24T16:27:34Z</t>
        </is>
      </c>
      <c r="G20" s="2" t="inlineStr">
        <is>
          <t>2026-05-28T06:09:50Z</t>
        </is>
      </c>
      <c r="H20" s="2" t="inlineStr">
        <is>
          <t>2026-05-28T06:09:50Z</t>
        </is>
      </c>
      <c r="I20" s="3" t="n">
        <v>1</v>
      </c>
      <c r="J20" s="2" t="inlineStr">
        <is>
          <t>#277</t>
        </is>
      </c>
      <c r="K20" s="3" t="n">
        <v>10.86</v>
      </c>
      <c r="L20" s="3" t="n">
        <v>60.31</v>
      </c>
      <c r="M20" s="3" t="n">
        <v>9</v>
      </c>
      <c r="N20" s="3" t="n">
        <v>2</v>
      </c>
      <c r="O20" s="3" t="n">
        <v>85.7</v>
      </c>
      <c r="P20" s="3" t="n">
        <v>10</v>
      </c>
      <c r="Q20" s="3" t="n">
        <v>2</v>
      </c>
      <c r="R20" s="2" t="inlineStr">
        <is>
          <t>GitHub CLI fallback</t>
        </is>
      </c>
    </row>
    <row r="21">
      <c r="A21" s="3" t="n">
        <v>344</v>
      </c>
      <c r="B21" s="3">
        <f>HYPERLINK("https://github.com/EduAI-Lab/EduAI/pull/344","#344")</f>
        <v/>
      </c>
      <c r="C21" s="2" t="inlineStr">
        <is>
          <t>feat(core): Phase 1 auth centralization — POST /api/sessions/validate and login redirect</t>
        </is>
      </c>
      <c r="D21" s="2" t="inlineStr">
        <is>
          <t>evanbones</t>
        </is>
      </c>
      <c r="E21" s="2" t="inlineStr">
        <is>
          <t>MERGED</t>
        </is>
      </c>
      <c r="F21" s="2" t="inlineStr">
        <is>
          <t>2026-05-25T22:32:01Z</t>
        </is>
      </c>
      <c r="G21" s="2" t="inlineStr">
        <is>
          <t>2026-05-25T23:20:15Z</t>
        </is>
      </c>
      <c r="H21" s="2" t="inlineStr">
        <is>
          <t>2026-05-25T23:20:15Z</t>
        </is>
      </c>
      <c r="I21" s="3" t="n">
        <v>1</v>
      </c>
      <c r="J21" s="2" t="inlineStr">
        <is>
          <t>#343</t>
        </is>
      </c>
      <c r="K21" s="2" t="inlineStr"/>
      <c r="L21" s="2" t="inlineStr"/>
      <c r="M21" s="3" t="n">
        <v>0</v>
      </c>
      <c r="N21" s="3" t="n">
        <v>0</v>
      </c>
      <c r="O21" s="3" t="n">
        <v>0.8</v>
      </c>
      <c r="P21" s="3" t="n">
        <v>0</v>
      </c>
      <c r="Q21" s="3" t="n">
        <v>0</v>
      </c>
      <c r="R21" s="2" t="inlineStr">
        <is>
          <t>GitHub CLI fallback</t>
        </is>
      </c>
    </row>
    <row r="22">
      <c r="A22" s="3" t="n">
        <v>350</v>
      </c>
      <c r="B22" s="3">
        <f>HYPERLINK("https://github.com/EduAI-Lab/EduAI/pull/350","#350")</f>
        <v/>
      </c>
      <c r="C22" s="2" t="inlineStr">
        <is>
          <t>feat(auth): Phase 2 auth pipeline centralization — migrate AI Tutor and Question Maker to Core session validation</t>
        </is>
      </c>
      <c r="D22" s="2" t="inlineStr">
        <is>
          <t>evanbones</t>
        </is>
      </c>
      <c r="E22" s="2" t="inlineStr">
        <is>
          <t>MERGED</t>
        </is>
      </c>
      <c r="F22" s="2" t="inlineStr">
        <is>
          <t>2026-05-26T22:21:44Z</t>
        </is>
      </c>
      <c r="G22" s="2" t="inlineStr">
        <is>
          <t>2026-05-26T22:38:20Z</t>
        </is>
      </c>
      <c r="H22" s="2" t="inlineStr">
        <is>
          <t>2026-05-26T22:38:20Z</t>
        </is>
      </c>
      <c r="I22" s="3" t="n">
        <v>1</v>
      </c>
      <c r="J22" s="2" t="inlineStr">
        <is>
          <t>#349</t>
        </is>
      </c>
      <c r="K22" s="2" t="inlineStr"/>
      <c r="L22" s="2" t="inlineStr"/>
      <c r="M22" s="3" t="n">
        <v>0</v>
      </c>
      <c r="N22" s="3" t="n">
        <v>0</v>
      </c>
      <c r="O22" s="3" t="n">
        <v>0.28</v>
      </c>
      <c r="P22" s="3" t="n">
        <v>0</v>
      </c>
      <c r="Q22" s="3" t="n">
        <v>0</v>
      </c>
      <c r="R22" s="2" t="inlineStr">
        <is>
          <t>GitHub CLI fallback</t>
        </is>
      </c>
    </row>
    <row r="23">
      <c r="A23" s="3" t="n">
        <v>352</v>
      </c>
      <c r="B23" s="3">
        <f>HYPERLINK("https://github.com/EduAI-Lab/EduAI/pull/352","#352")</f>
        <v/>
      </c>
      <c r="C23" s="2" t="inlineStr">
        <is>
          <t>test: Setup Docker and Playwright for testing and fix existing tests</t>
        </is>
      </c>
      <c r="D23" s="2" t="inlineStr">
        <is>
          <t>yta3216</t>
        </is>
      </c>
      <c r="E23" s="2" t="inlineStr">
        <is>
          <t>MERGED</t>
        </is>
      </c>
      <c r="F23" s="2" t="inlineStr">
        <is>
          <t>2026-05-27T20:10:55Z</t>
        </is>
      </c>
      <c r="G23" s="2" t="inlineStr">
        <is>
          <t>2026-06-01T18:30:11Z</t>
        </is>
      </c>
      <c r="H23" s="2" t="inlineStr">
        <is>
          <t>2026-06-01T18:30:11Z</t>
        </is>
      </c>
      <c r="I23" s="3" t="n">
        <v>1</v>
      </c>
      <c r="J23" s="2" t="inlineStr">
        <is>
          <t>#229</t>
        </is>
      </c>
      <c r="K23" s="3" t="n">
        <v>10.27</v>
      </c>
      <c r="L23" s="3" t="n">
        <v>84.51000000000001</v>
      </c>
      <c r="M23" s="3" t="n">
        <v>11</v>
      </c>
      <c r="N23" s="3" t="n">
        <v>1</v>
      </c>
      <c r="O23" s="3" t="n">
        <v>118.32</v>
      </c>
      <c r="P23" s="3" t="n">
        <v>8</v>
      </c>
      <c r="Q23" s="3" t="n">
        <v>2</v>
      </c>
      <c r="R23" s="2" t="inlineStr">
        <is>
          <t>GitHub CLI fallback</t>
        </is>
      </c>
    </row>
    <row r="24">
      <c r="A24" s="3" t="n">
        <v>356</v>
      </c>
      <c r="B24" s="3">
        <f>HYPERLINK("https://github.com/EduAI-Lab/EduAI/pull/356","#356")</f>
        <v/>
      </c>
      <c r="C24" s="2" t="inlineStr">
        <is>
          <t>feat(core): OpenRouter embeddings and HTTPS dev auth session fixes</t>
        </is>
      </c>
      <c r="D24" s="2" t="inlineStr">
        <is>
          <t>superbolt08</t>
        </is>
      </c>
      <c r="E24" s="2" t="inlineStr">
        <is>
          <t>MERGED</t>
        </is>
      </c>
      <c r="F24" s="2" t="inlineStr">
        <is>
          <t>2026-05-28T19:43:26Z</t>
        </is>
      </c>
      <c r="G24" s="2" t="inlineStr">
        <is>
          <t>2026-05-31T19:21:30Z</t>
        </is>
      </c>
      <c r="H24" s="2" t="inlineStr">
        <is>
          <t>2026-05-31T19:21:30Z</t>
        </is>
      </c>
      <c r="I24" s="3" t="n">
        <v>2</v>
      </c>
      <c r="J24" s="2" t="inlineStr">
        <is>
          <t>#269, #357</t>
        </is>
      </c>
      <c r="K24" s="3" t="n">
        <v>23.86</v>
      </c>
      <c r="L24" s="3" t="n">
        <v>23.86</v>
      </c>
      <c r="M24" s="3" t="n">
        <v>3</v>
      </c>
      <c r="N24" s="3" t="n">
        <v>0</v>
      </c>
      <c r="O24" s="3" t="n">
        <v>71.63</v>
      </c>
      <c r="P24" s="3" t="n">
        <v>2</v>
      </c>
      <c r="Q24" s="3" t="n">
        <v>2</v>
      </c>
      <c r="R24" s="2" t="inlineStr">
        <is>
          <t>GitHub CLI fallback</t>
        </is>
      </c>
    </row>
    <row r="25">
      <c r="A25" s="3" t="n">
        <v>375</v>
      </c>
      <c r="B25" s="3">
        <f>HYPERLINK("https://github.com/EduAI-Lab/EduAI/pull/375","#375")</f>
        <v/>
      </c>
      <c r="C25" s="2" t="inlineStr">
        <is>
          <t>feat: centralize bug reports — POST /api/bug-reports on Core, both extensions wired</t>
        </is>
      </c>
      <c r="D25" s="2" t="inlineStr">
        <is>
          <t>evanbones</t>
        </is>
      </c>
      <c r="E25" s="2" t="inlineStr">
        <is>
          <t>MERGED</t>
        </is>
      </c>
      <c r="F25" s="2" t="inlineStr">
        <is>
          <t>2026-05-29T22:12:42Z</t>
        </is>
      </c>
      <c r="G25" s="2" t="inlineStr">
        <is>
          <t>2026-05-29T22:44:10Z</t>
        </is>
      </c>
      <c r="H25" s="2" t="inlineStr">
        <is>
          <t>2026-05-29T22:44:10Z</t>
        </is>
      </c>
      <c r="I25" s="3" t="n">
        <v>1</v>
      </c>
      <c r="J25" s="2" t="inlineStr">
        <is>
          <t>#279</t>
        </is>
      </c>
      <c r="K25" s="2" t="inlineStr"/>
      <c r="L25" s="2" t="inlineStr"/>
      <c r="M25" s="3" t="n">
        <v>0</v>
      </c>
      <c r="N25" s="3" t="n">
        <v>0</v>
      </c>
      <c r="O25" s="3" t="n">
        <v>0.52</v>
      </c>
      <c r="P25" s="3" t="n">
        <v>0</v>
      </c>
      <c r="Q25" s="3" t="n">
        <v>0</v>
      </c>
      <c r="R25" s="2" t="inlineStr">
        <is>
          <t>GitHub CLI fallback</t>
        </is>
      </c>
    </row>
    <row r="26">
      <c r="A26" s="3" t="n">
        <v>376</v>
      </c>
      <c r="B26" s="3">
        <f>HYPERLINK("https://github.com/EduAI-Lab/EduAI/pull/376","#376")</f>
        <v/>
      </c>
      <c r="C26" s="2" t="inlineStr">
        <is>
          <t>docs: added shared component library audit .md file</t>
        </is>
      </c>
      <c r="D26" s="2" t="inlineStr">
        <is>
          <t>yta3216</t>
        </is>
      </c>
      <c r="E26" s="2" t="inlineStr">
        <is>
          <t>OPEN</t>
        </is>
      </c>
      <c r="F26" s="2" t="inlineStr">
        <is>
          <t>2026-05-29T22:28:19Z</t>
        </is>
      </c>
      <c r="G26" s="2" t="n"/>
      <c r="H26" s="2" t="n"/>
      <c r="I26" s="3" t="n">
        <v>1</v>
      </c>
      <c r="J26" s="2" t="inlineStr">
        <is>
          <t>#218</t>
        </is>
      </c>
      <c r="K26" s="3" t="n">
        <v>3.84</v>
      </c>
      <c r="L26" s="2" t="inlineStr"/>
      <c r="M26" s="3" t="n">
        <v>1</v>
      </c>
      <c r="N26" s="3" t="n">
        <v>1</v>
      </c>
      <c r="O26" s="2" t="inlineStr"/>
      <c r="P26" s="3" t="n">
        <v>1</v>
      </c>
      <c r="Q26" s="3" t="n">
        <v>0</v>
      </c>
      <c r="R26" s="2" t="inlineStr">
        <is>
          <t>GitHub CLI fallback</t>
        </is>
      </c>
    </row>
    <row r="27">
      <c r="A27" s="3" t="n">
        <v>383</v>
      </c>
      <c r="B27" s="3">
        <f>HYPERLINK("https://github.com/EduAI-Lab/EduAI/pull/383","#383")</f>
        <v/>
      </c>
      <c r="C27" s="2" t="inlineStr">
        <is>
          <t>docs: EduAI chat latency findings (summer 2026)</t>
        </is>
      </c>
      <c r="D27" s="2" t="inlineStr">
        <is>
          <t>superbolt08</t>
        </is>
      </c>
      <c r="E27" s="2" t="inlineStr">
        <is>
          <t>OPEN</t>
        </is>
      </c>
      <c r="F27" s="2" t="inlineStr">
        <is>
          <t>2026-05-30T01:13:22Z</t>
        </is>
      </c>
      <c r="G27" s="2" t="n"/>
      <c r="H27" s="2" t="n"/>
      <c r="I27" s="3" t="n">
        <v>2</v>
      </c>
      <c r="J27" s="2" t="inlineStr">
        <is>
          <t>#359, #419</t>
        </is>
      </c>
      <c r="K27" s="3" t="n">
        <v>1.21</v>
      </c>
      <c r="L27" s="3" t="n">
        <v>65.18000000000001</v>
      </c>
      <c r="M27" s="3" t="n">
        <v>1</v>
      </c>
      <c r="N27" s="3" t="n">
        <v>1</v>
      </c>
      <c r="O27" s="2" t="inlineStr"/>
      <c r="P27" s="3" t="n">
        <v>2</v>
      </c>
      <c r="Q27" s="3" t="n">
        <v>1</v>
      </c>
      <c r="R27" s="2" t="inlineStr">
        <is>
          <t>GitHub CLI fallback</t>
        </is>
      </c>
    </row>
    <row r="28">
      <c r="A28" s="3" t="n">
        <v>392</v>
      </c>
      <c r="B28" s="3">
        <f>HYPERLINK("https://github.com/EduAI-Lab/EduAI/pull/392","#392")</f>
        <v/>
      </c>
      <c r="C28" s="2" t="inlineStr">
        <is>
          <t>refactor(core): split course handlers and align course/topic server logic with current schema</t>
        </is>
      </c>
      <c r="D28" s="2" t="inlineStr">
        <is>
          <t>GlowyBlack</t>
        </is>
      </c>
      <c r="E28" s="2" t="inlineStr">
        <is>
          <t>MERGED</t>
        </is>
      </c>
      <c r="F28" s="2" t="inlineStr">
        <is>
          <t>2026-05-30T19:58:19Z</t>
        </is>
      </c>
      <c r="G28" s="2" t="inlineStr">
        <is>
          <t>2026-05-31T00:57:16Z</t>
        </is>
      </c>
      <c r="H28" s="2" t="inlineStr">
        <is>
          <t>2026-05-31T00:57:16Z</t>
        </is>
      </c>
      <c r="I28" s="3" t="n">
        <v>1</v>
      </c>
      <c r="J28" s="2" t="inlineStr">
        <is>
          <t>#345</t>
        </is>
      </c>
      <c r="K28" s="3" t="n">
        <v>4.98</v>
      </c>
      <c r="L28" s="3" t="n">
        <v>4.98</v>
      </c>
      <c r="M28" s="3" t="n">
        <v>0</v>
      </c>
      <c r="N28" s="3" t="n">
        <v>0</v>
      </c>
      <c r="O28" s="3" t="n">
        <v>4.98</v>
      </c>
      <c r="P28" s="3" t="n">
        <v>1</v>
      </c>
      <c r="Q28" s="3" t="n">
        <v>1</v>
      </c>
      <c r="R28" s="2" t="inlineStr">
        <is>
          <t>GitHub CLI fallback</t>
        </is>
      </c>
    </row>
    <row r="29">
      <c r="A29" s="3" t="n">
        <v>430</v>
      </c>
      <c r="B29" s="3">
        <f>HYPERLINK("https://github.com/EduAI-Lab/EduAI/pull/430","#430")</f>
        <v/>
      </c>
      <c r="C29" s="2" t="inlineStr">
        <is>
          <t xml:space="preserve"> centralize platform — finish api-wiring</t>
        </is>
      </c>
      <c r="D29" s="2" t="inlineStr">
        <is>
          <t>abdullahmoh21</t>
        </is>
      </c>
      <c r="E29" s="2" t="inlineStr">
        <is>
          <t>OPEN</t>
        </is>
      </c>
      <c r="F29" s="2" t="inlineStr">
        <is>
          <t>2026-06-02T06:46:15Z</t>
        </is>
      </c>
      <c r="G29" s="2" t="n"/>
      <c r="H29" s="2" t="n"/>
      <c r="I29" s="3" t="n">
        <v>6</v>
      </c>
      <c r="J29" s="2" t="inlineStr">
        <is>
          <t>#278, #280, #281, #282, #427, #428</t>
        </is>
      </c>
      <c r="K29" s="2" t="inlineStr"/>
      <c r="L29" s="2" t="inlineStr"/>
      <c r="M29" s="3" t="n">
        <v>0</v>
      </c>
      <c r="N29" s="3" t="n">
        <v>0</v>
      </c>
      <c r="O29" s="2" t="inlineStr"/>
      <c r="P29" s="3" t="n">
        <v>0</v>
      </c>
      <c r="Q29" s="3" t="n">
        <v>0</v>
      </c>
      <c r="R29" s="2" t="inlineStr">
        <is>
          <t>GitHub CLI fallback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7" customWidth="1" min="4" max="4"/>
    <col width="27" customWidth="1" min="5" max="5"/>
    <col width="55" customWidth="1" min="6" max="6"/>
  </cols>
  <sheetData>
    <row r="1">
      <c r="A1" s="1" t="inlineStr">
        <is>
          <t>item_type</t>
        </is>
      </c>
      <c r="B1" s="1" t="inlineStr">
        <is>
          <t>identifier</t>
        </is>
      </c>
      <c r="C1" s="1" t="inlineStr">
        <is>
          <t>github_username</t>
        </is>
      </c>
      <c r="D1" s="1" t="inlineStr">
        <is>
          <t>week</t>
        </is>
      </c>
      <c r="E1" s="1" t="inlineStr">
        <is>
          <t>flag</t>
        </is>
      </c>
      <c r="F1" s="1" t="inlineStr">
        <is>
          <t>details</t>
        </is>
      </c>
    </row>
    <row r="2">
      <c r="A2" s="4" t="inlineStr">
        <is>
          <t>Issue hour row</t>
        </is>
      </c>
      <c r="B2" s="4" t="inlineStr">
        <is>
          <t>Issue #122</t>
        </is>
      </c>
      <c r="C2" s="4" t="inlineStr">
        <is>
          <t>abdullahmoh21</t>
        </is>
      </c>
      <c r="D2" s="4" t="inlineStr">
        <is>
          <t>May 18-24, 2026</t>
        </is>
      </c>
      <c r="E2" s="4" t="inlineStr">
        <is>
          <t>No closing PR found</t>
        </is>
      </c>
      <c r="F2" s="4" t="inlineStr">
        <is>
          <t>Implementation hours are self-reported only; no strict closing PR found.</t>
        </is>
      </c>
    </row>
    <row r="3">
      <c r="A3" s="4" t="inlineStr">
        <is>
          <t>PR</t>
        </is>
      </c>
      <c r="B3" s="4" t="inlineStr">
        <is>
          <t>PR #237</t>
        </is>
      </c>
      <c r="C3" s="4" t="inlineStr">
        <is>
          <t>abdullahmoh21</t>
        </is>
      </c>
      <c r="D3" s="4" t="inlineStr">
        <is>
          <t>May 18-24, 2026</t>
        </is>
      </c>
      <c r="E3" s="4" t="inlineStr">
        <is>
          <t>PR closes multiple issues</t>
        </is>
      </c>
      <c r="F3" s="4" t="inlineStr">
        <is>
          <t>Closes issues: #231, #239</t>
        </is>
      </c>
    </row>
    <row r="4">
      <c r="A4" s="4" t="inlineStr">
        <is>
          <t>PR</t>
        </is>
      </c>
      <c r="B4" s="4" t="inlineStr">
        <is>
          <t>PR #237</t>
        </is>
      </c>
      <c r="C4" s="4" t="inlineStr">
        <is>
          <t>abdullahmoh21</t>
        </is>
      </c>
      <c r="D4" s="4" t="inlineStr">
        <is>
          <t>May 18-24, 2026</t>
        </is>
      </c>
      <c r="E4" s="4" t="inlineStr">
        <is>
          <t>PR closes multiple issues</t>
        </is>
      </c>
      <c r="F4" s="4" t="inlineStr">
        <is>
          <t>Closes issues: #231, #239</t>
        </is>
      </c>
    </row>
    <row r="5">
      <c r="A5" s="4" t="inlineStr">
        <is>
          <t>Issue hour row</t>
        </is>
      </c>
      <c r="B5" s="4" t="inlineStr">
        <is>
          <t>Issue #324</t>
        </is>
      </c>
      <c r="C5" s="4" t="inlineStr">
        <is>
          <t>abdullahmoh21</t>
        </is>
      </c>
      <c r="D5" s="4" t="inlineStr">
        <is>
          <t>May 18-24, 2026</t>
        </is>
      </c>
      <c r="E5" s="4" t="inlineStr">
        <is>
          <t>No closing PR found</t>
        </is>
      </c>
      <c r="F5" s="4" t="inlineStr">
        <is>
          <t>Implementation hours are self-reported only; no strict closing PR found.</t>
        </is>
      </c>
    </row>
    <row r="6">
      <c r="A6" s="4" t="inlineStr">
        <is>
          <t>Issue hour row</t>
        </is>
      </c>
      <c r="B6" s="4" t="inlineStr">
        <is>
          <t>Issue #131</t>
        </is>
      </c>
      <c r="C6" s="4" t="inlineStr">
        <is>
          <t>Ayyhab</t>
        </is>
      </c>
      <c r="D6" s="4" t="inlineStr">
        <is>
          <t>May 18-24, 2026</t>
        </is>
      </c>
      <c r="E6" s="4" t="inlineStr">
        <is>
          <t>No closing PR found</t>
        </is>
      </c>
      <c r="F6" s="4" t="inlineStr">
        <is>
          <t>Implementation hours are self-reported only; no strict closing PR found.</t>
        </is>
      </c>
    </row>
    <row r="7">
      <c r="A7" s="4" t="inlineStr">
        <is>
          <t>Issue hour row</t>
        </is>
      </c>
      <c r="B7" s="4" t="inlineStr">
        <is>
          <t>Issue #325</t>
        </is>
      </c>
      <c r="C7" s="4" t="inlineStr">
        <is>
          <t>Ayyhab</t>
        </is>
      </c>
      <c r="D7" s="4" t="inlineStr">
        <is>
          <t>May 18-24, 2026</t>
        </is>
      </c>
      <c r="E7" s="4" t="inlineStr">
        <is>
          <t>No closing PR found</t>
        </is>
      </c>
      <c r="F7" s="4" t="inlineStr">
        <is>
          <t>Implementation hours are self-reported only; no strict closing PR found.</t>
        </is>
      </c>
    </row>
    <row r="8">
      <c r="A8" s="4" t="inlineStr">
        <is>
          <t>Issue hour row</t>
        </is>
      </c>
      <c r="B8" s="4" t="inlineStr">
        <is>
          <t>Issue #131</t>
        </is>
      </c>
      <c r="C8" s="4" t="inlineStr">
        <is>
          <t>ebabar5</t>
        </is>
      </c>
      <c r="D8" s="4" t="inlineStr">
        <is>
          <t>May 18-24, 2026</t>
        </is>
      </c>
      <c r="E8" s="4" t="inlineStr">
        <is>
          <t>No closing PR found</t>
        </is>
      </c>
      <c r="F8" s="4" t="inlineStr">
        <is>
          <t>Implementation hours are self-reported only; no strict closing PR found.</t>
        </is>
      </c>
    </row>
    <row r="9">
      <c r="A9" s="4" t="inlineStr">
        <is>
          <t>Issue hour row</t>
        </is>
      </c>
      <c r="B9" s="4" t="inlineStr">
        <is>
          <t>Issue #123</t>
        </is>
      </c>
      <c r="C9" s="4" t="inlineStr">
        <is>
          <t>evanbones</t>
        </is>
      </c>
      <c r="D9" s="4" t="inlineStr">
        <is>
          <t>May 18-24, 2026</t>
        </is>
      </c>
      <c r="E9" s="4" t="inlineStr">
        <is>
          <t>No closing PR found</t>
        </is>
      </c>
      <c r="F9" s="4" t="inlineStr">
        <is>
          <t>Implementation hours are self-reported only; no strict closing PR found.</t>
        </is>
      </c>
    </row>
    <row r="10">
      <c r="A10" s="4" t="inlineStr">
        <is>
          <t>Issue hour row</t>
        </is>
      </c>
      <c r="B10" s="4" t="inlineStr">
        <is>
          <t>Issue #102</t>
        </is>
      </c>
      <c r="C10" s="4" t="inlineStr">
        <is>
          <t>GlowyBlack</t>
        </is>
      </c>
      <c r="D10" s="4" t="inlineStr">
        <is>
          <t>May 18-24, 2026</t>
        </is>
      </c>
      <c r="E10" s="4" t="inlineStr">
        <is>
          <t>No closing PR found</t>
        </is>
      </c>
      <c r="F10" s="4" t="inlineStr">
        <is>
          <t>Implementation hours are self-reported only; no strict closing PR found.</t>
        </is>
      </c>
    </row>
    <row r="11">
      <c r="A11" s="4" t="inlineStr">
        <is>
          <t>Issue hour row</t>
        </is>
      </c>
      <c r="B11" s="4" t="inlineStr">
        <is>
          <t>Issue #131</t>
        </is>
      </c>
      <c r="C11" s="4" t="inlineStr">
        <is>
          <t>GlowyBlack</t>
        </is>
      </c>
      <c r="D11" s="4" t="inlineStr">
        <is>
          <t>May 18-24, 2026</t>
        </is>
      </c>
      <c r="E11" s="4" t="inlineStr">
        <is>
          <t>No closing PR found</t>
        </is>
      </c>
      <c r="F11" s="4" t="inlineStr">
        <is>
          <t>Implementation hours are self-reported only; no strict closing PR found.</t>
        </is>
      </c>
    </row>
    <row r="12">
      <c r="A12" s="4" t="inlineStr">
        <is>
          <t>Issue hour row</t>
        </is>
      </c>
      <c r="B12" s="4" t="inlineStr">
        <is>
          <t>Issue #204</t>
        </is>
      </c>
      <c r="C12" s="4" t="inlineStr">
        <is>
          <t>GlowyBlack</t>
        </is>
      </c>
      <c r="D12" s="4" t="inlineStr">
        <is>
          <t>May 18-24, 2026</t>
        </is>
      </c>
      <c r="E12" s="4" t="inlineStr">
        <is>
          <t>No closing PR found</t>
        </is>
      </c>
      <c r="F12" s="4" t="inlineStr">
        <is>
          <t>Implementation hours are self-reported only; no strict closing PR found.</t>
        </is>
      </c>
    </row>
    <row r="13">
      <c r="A13" s="4" t="inlineStr">
        <is>
          <t>Issue hour row</t>
        </is>
      </c>
      <c r="B13" s="4" t="inlineStr">
        <is>
          <t>Issue #205</t>
        </is>
      </c>
      <c r="C13" s="4" t="inlineStr">
        <is>
          <t>GlowyBlack</t>
        </is>
      </c>
      <c r="D13" s="4" t="inlineStr">
        <is>
          <t>May 18-24, 2026</t>
        </is>
      </c>
      <c r="E13" s="4" t="inlineStr">
        <is>
          <t>No closing PR found</t>
        </is>
      </c>
      <c r="F13" s="4" t="inlineStr">
        <is>
          <t>Implementation hours are self-reported only; no strict closing PR found.</t>
        </is>
      </c>
    </row>
    <row r="14">
      <c r="A14" s="4" t="inlineStr">
        <is>
          <t>Issue hour row</t>
        </is>
      </c>
      <c r="B14" s="4" t="inlineStr">
        <is>
          <t>Issue #322</t>
        </is>
      </c>
      <c r="C14" s="4" t="inlineStr">
        <is>
          <t>GlowyBlack</t>
        </is>
      </c>
      <c r="D14" s="4" t="inlineStr">
        <is>
          <t>May 18-24, 2026</t>
        </is>
      </c>
      <c r="E14" s="4" t="inlineStr">
        <is>
          <t>No closing PR found</t>
        </is>
      </c>
      <c r="F14" s="4" t="inlineStr">
        <is>
          <t>Implementation hours are self-reported only; no strict closing PR found.</t>
        </is>
      </c>
    </row>
    <row r="15">
      <c r="A15" s="4" t="inlineStr">
        <is>
          <t>Issue hour row</t>
        </is>
      </c>
      <c r="B15" s="4" t="inlineStr">
        <is>
          <t>Issue #131</t>
        </is>
      </c>
      <c r="C15" s="4" t="inlineStr">
        <is>
          <t>KitheK</t>
        </is>
      </c>
      <c r="D15" s="4" t="inlineStr">
        <is>
          <t>May 18-24, 2026</t>
        </is>
      </c>
      <c r="E15" s="4" t="inlineStr">
        <is>
          <t>No closing PR found</t>
        </is>
      </c>
      <c r="F15" s="4" t="inlineStr">
        <is>
          <t>Implementation hours are self-reported only; no strict closing PR found.</t>
        </is>
      </c>
    </row>
    <row r="16">
      <c r="A16" s="4" t="inlineStr">
        <is>
          <t>Issue hour row</t>
        </is>
      </c>
      <c r="B16" s="4" t="inlineStr">
        <is>
          <t>Issue #204</t>
        </is>
      </c>
      <c r="C16" s="4" t="inlineStr">
        <is>
          <t>KitheK</t>
        </is>
      </c>
      <c r="D16" s="4" t="inlineStr">
        <is>
          <t>May 18-24, 2026</t>
        </is>
      </c>
      <c r="E16" s="4" t="inlineStr">
        <is>
          <t>No closing PR found</t>
        </is>
      </c>
      <c r="F16" s="4" t="inlineStr">
        <is>
          <t>Implementation hours are self-reported only; no strict closing PR found.</t>
        </is>
      </c>
    </row>
    <row r="17">
      <c r="A17" s="4" t="inlineStr">
        <is>
          <t>Issue hour row</t>
        </is>
      </c>
      <c r="B17" s="4" t="inlineStr">
        <is>
          <t>Issue #161</t>
        </is>
      </c>
      <c r="C17" s="4" t="inlineStr">
        <is>
          <t>superbolt08</t>
        </is>
      </c>
      <c r="D17" s="4" t="inlineStr">
        <is>
          <t>May 18-24, 2026</t>
        </is>
      </c>
      <c r="E17" s="4" t="inlineStr">
        <is>
          <t>No closing PR found</t>
        </is>
      </c>
      <c r="F17" s="4" t="inlineStr">
        <is>
          <t>Implementation hours are self-reported only; no strict closing PR found.</t>
        </is>
      </c>
    </row>
    <row r="18">
      <c r="A18" s="4" t="inlineStr">
        <is>
          <t>Issue hour row</t>
        </is>
      </c>
      <c r="B18" s="4" t="inlineStr">
        <is>
          <t>Issue #193</t>
        </is>
      </c>
      <c r="C18" s="4" t="inlineStr">
        <is>
          <t>superbolt08</t>
        </is>
      </c>
      <c r="D18" s="4" t="inlineStr">
        <is>
          <t>May 18-24, 2026</t>
        </is>
      </c>
      <c r="E18" s="4" t="inlineStr">
        <is>
          <t>No closing PR found</t>
        </is>
      </c>
      <c r="F18" s="4" t="inlineStr">
        <is>
          <t>Implementation hours are self-reported only; no strict closing PR found.</t>
        </is>
      </c>
    </row>
    <row r="19">
      <c r="A19" s="4" t="inlineStr">
        <is>
          <t>Issue hour row</t>
        </is>
      </c>
      <c r="B19" s="4" t="inlineStr">
        <is>
          <t>Issue #319</t>
        </is>
      </c>
      <c r="C19" s="4" t="inlineStr">
        <is>
          <t>superbolt08</t>
        </is>
      </c>
      <c r="D19" s="4" t="inlineStr">
        <is>
          <t>May 18-24, 2026</t>
        </is>
      </c>
      <c r="E19" s="4" t="inlineStr">
        <is>
          <t>No closing PR found</t>
        </is>
      </c>
      <c r="F19" s="4" t="inlineStr">
        <is>
          <t>Implementation hours are self-reported only; no strict closing PR found.</t>
        </is>
      </c>
    </row>
    <row r="20">
      <c r="A20" s="4" t="inlineStr">
        <is>
          <t>Issue hour row</t>
        </is>
      </c>
      <c r="B20" s="4" t="inlineStr">
        <is>
          <t>Issue #323</t>
        </is>
      </c>
      <c r="C20" s="4" t="inlineStr">
        <is>
          <t>superbolt08</t>
        </is>
      </c>
      <c r="D20" s="4" t="inlineStr">
        <is>
          <t>May 18-24, 2026</t>
        </is>
      </c>
      <c r="E20" s="4" t="inlineStr">
        <is>
          <t>No closing PR found</t>
        </is>
      </c>
      <c r="F20" s="4" t="inlineStr">
        <is>
          <t>Implementation hours are self-reported only; no strict closing PR found.</t>
        </is>
      </c>
    </row>
    <row r="21">
      <c r="A21" s="4" t="inlineStr">
        <is>
          <t>Issue hour row</t>
        </is>
      </c>
      <c r="B21" s="4" t="inlineStr">
        <is>
          <t>Issue #102</t>
        </is>
      </c>
      <c r="C21" s="4" t="inlineStr">
        <is>
          <t>yta3216</t>
        </is>
      </c>
      <c r="D21" s="4" t="inlineStr">
        <is>
          <t>May 18-24, 2026</t>
        </is>
      </c>
      <c r="E21" s="4" t="inlineStr">
        <is>
          <t>No closing PR found</t>
        </is>
      </c>
      <c r="F21" s="4" t="inlineStr">
        <is>
          <t>Implementation hours are self-reported only; no strict closing PR found.</t>
        </is>
      </c>
    </row>
    <row r="22">
      <c r="A22" s="4" t="inlineStr">
        <is>
          <t>Issue hour row</t>
        </is>
      </c>
      <c r="B22" s="4" t="inlineStr">
        <is>
          <t>Issue #131</t>
        </is>
      </c>
      <c r="C22" s="4" t="inlineStr">
        <is>
          <t>yta3216</t>
        </is>
      </c>
      <c r="D22" s="4" t="inlineStr">
        <is>
          <t>May 18-24, 2026</t>
        </is>
      </c>
      <c r="E22" s="4" t="inlineStr">
        <is>
          <t>No closing PR found</t>
        </is>
      </c>
      <c r="F22" s="4" t="inlineStr">
        <is>
          <t>Implementation hours are self-reported only; no strict closing PR found.</t>
        </is>
      </c>
    </row>
    <row r="23">
      <c r="A23" s="4" t="inlineStr">
        <is>
          <t>Issue hour row</t>
        </is>
      </c>
      <c r="B23" s="4" t="inlineStr">
        <is>
          <t>Issue #204</t>
        </is>
      </c>
      <c r="C23" s="4" t="inlineStr">
        <is>
          <t>yta3216</t>
        </is>
      </c>
      <c r="D23" s="4" t="inlineStr">
        <is>
          <t>May 18-24, 2026</t>
        </is>
      </c>
      <c r="E23" s="4" t="inlineStr">
        <is>
          <t>No closing PR found</t>
        </is>
      </c>
      <c r="F23" s="4" t="inlineStr">
        <is>
          <t>Implementation hours are self-reported only; no strict closing PR found.</t>
        </is>
      </c>
    </row>
    <row r="24">
      <c r="A24" s="4" t="inlineStr">
        <is>
          <t>Issue hour row</t>
        </is>
      </c>
      <c r="B24" s="4" t="inlineStr">
        <is>
          <t>Issue #205</t>
        </is>
      </c>
      <c r="C24" s="4" t="inlineStr">
        <is>
          <t>yta3216</t>
        </is>
      </c>
      <c r="D24" s="4" t="inlineStr">
        <is>
          <t>May 18-24, 2026</t>
        </is>
      </c>
      <c r="E24" s="4" t="inlineStr">
        <is>
          <t>No closing PR found</t>
        </is>
      </c>
      <c r="F24" s="4" t="inlineStr">
        <is>
          <t>Implementation hours are self-reported only; no strict closing PR found.</t>
        </is>
      </c>
    </row>
    <row r="25">
      <c r="A25" s="4" t="inlineStr">
        <is>
          <t>Issue hour row</t>
        </is>
      </c>
      <c r="B25" s="4" t="inlineStr">
        <is>
          <t>Issue #228</t>
        </is>
      </c>
      <c r="C25" s="4" t="inlineStr">
        <is>
          <t>yta3216</t>
        </is>
      </c>
      <c r="D25" s="4" t="inlineStr">
        <is>
          <t>May 18-24, 2026</t>
        </is>
      </c>
      <c r="E25" s="4" t="inlineStr">
        <is>
          <t>No closing PR found</t>
        </is>
      </c>
      <c r="F25" s="4" t="inlineStr">
        <is>
          <t>Implementation hours are self-reported only; no strict closing PR found.</t>
        </is>
      </c>
    </row>
    <row r="26">
      <c r="A26" s="4" t="inlineStr">
        <is>
          <t>Issue hour row</t>
        </is>
      </c>
      <c r="B26" s="4" t="inlineStr">
        <is>
          <t>Issue #251</t>
        </is>
      </c>
      <c r="C26" s="4" t="inlineStr">
        <is>
          <t>yta3216</t>
        </is>
      </c>
      <c r="D26" s="4" t="inlineStr">
        <is>
          <t>May 18-24, 2026</t>
        </is>
      </c>
      <c r="E26" s="4" t="inlineStr">
        <is>
          <t>No closing PR found</t>
        </is>
      </c>
      <c r="F26" s="4" t="inlineStr">
        <is>
          <t>Implementation hours are self-reported only; no strict closing PR found.</t>
        </is>
      </c>
    </row>
    <row r="27">
      <c r="A27" s="4" t="inlineStr">
        <is>
          <t>PR</t>
        </is>
      </c>
      <c r="B27" s="4" t="inlineStr">
        <is>
          <t>PR #430</t>
        </is>
      </c>
      <c r="C27" s="4" t="inlineStr">
        <is>
          <t>abdullahmoh21</t>
        </is>
      </c>
      <c r="D27" s="4" t="inlineStr">
        <is>
          <t>May 25-31, 2026</t>
        </is>
      </c>
      <c r="E27" s="4" t="inlineStr">
        <is>
          <t>PR closes multiple issues</t>
        </is>
      </c>
      <c r="F27" s="4" t="inlineStr">
        <is>
          <t>Closes issues: #278, #280, #281, #282, #427, #428</t>
        </is>
      </c>
    </row>
    <row r="28">
      <c r="A28" s="4" t="inlineStr">
        <is>
          <t>Issue hour row</t>
        </is>
      </c>
      <c r="B28" s="4" t="inlineStr">
        <is>
          <t>Issue #293</t>
        </is>
      </c>
      <c r="C28" s="4" t="inlineStr">
        <is>
          <t>abdullahmoh21</t>
        </is>
      </c>
      <c r="D28" s="4" t="inlineStr">
        <is>
          <t>May 25-31, 2026</t>
        </is>
      </c>
      <c r="E28" s="4" t="inlineStr">
        <is>
          <t>No closing PR found</t>
        </is>
      </c>
      <c r="F28" s="4" t="inlineStr">
        <is>
          <t>Implementation hours are self-reported only; no strict closing PR found.</t>
        </is>
      </c>
    </row>
    <row r="29">
      <c r="A29" s="4" t="inlineStr">
        <is>
          <t>PR</t>
        </is>
      </c>
      <c r="B29" s="4" t="inlineStr">
        <is>
          <t>PR #430</t>
        </is>
      </c>
      <c r="C29" s="4" t="inlineStr">
        <is>
          <t>frostbitcactus</t>
        </is>
      </c>
      <c r="D29" s="4" t="inlineStr">
        <is>
          <t>May 25-31, 2026</t>
        </is>
      </c>
      <c r="E29" s="4" t="inlineStr">
        <is>
          <t>PR closes multiple issues</t>
        </is>
      </c>
      <c r="F29" s="4" t="inlineStr">
        <is>
          <t>Closes issues: #278, #280, #281, #282, #427, #428</t>
        </is>
      </c>
    </row>
    <row r="30">
      <c r="A30" s="4" t="inlineStr">
        <is>
          <t>Issue hour row</t>
        </is>
      </c>
      <c r="B30" s="4" t="inlineStr">
        <is>
          <t>Issue #197</t>
        </is>
      </c>
      <c r="C30" s="4" t="inlineStr">
        <is>
          <t>superbolt08</t>
        </is>
      </c>
      <c r="D30" s="4" t="inlineStr">
        <is>
          <t>May 25-31, 2026</t>
        </is>
      </c>
      <c r="E30" s="4" t="inlineStr">
        <is>
          <t>No closing PR found</t>
        </is>
      </c>
      <c r="F30" s="4" t="inlineStr">
        <is>
          <t>Implementation hours are self-reported only; no strict closing PR found.</t>
        </is>
      </c>
    </row>
    <row r="31">
      <c r="A31" s="4" t="inlineStr">
        <is>
          <t>PR</t>
        </is>
      </c>
      <c r="B31" s="4" t="inlineStr">
        <is>
          <t>PR #356</t>
        </is>
      </c>
      <c r="C31" s="4" t="inlineStr">
        <is>
          <t>superbolt08</t>
        </is>
      </c>
      <c r="D31" s="4" t="inlineStr">
        <is>
          <t>May 25-31, 2026</t>
        </is>
      </c>
      <c r="E31" s="4" t="inlineStr">
        <is>
          <t>PR closes multiple issues</t>
        </is>
      </c>
      <c r="F31" s="4" t="inlineStr">
        <is>
          <t>Closes issues: #269, #357</t>
        </is>
      </c>
    </row>
    <row r="32">
      <c r="A32" s="4" t="inlineStr">
        <is>
          <t>PR</t>
        </is>
      </c>
      <c r="B32" s="4" t="inlineStr">
        <is>
          <t>PR #356</t>
        </is>
      </c>
      <c r="C32" s="4" t="inlineStr">
        <is>
          <t>superbolt08</t>
        </is>
      </c>
      <c r="D32" s="4" t="inlineStr">
        <is>
          <t>May 25-31, 2026</t>
        </is>
      </c>
      <c r="E32" s="4" t="inlineStr">
        <is>
          <t>PR closes multiple issues</t>
        </is>
      </c>
      <c r="F32" s="4" t="inlineStr">
        <is>
          <t>Closes issues: #269, #357</t>
        </is>
      </c>
    </row>
    <row r="33">
      <c r="A33" s="4" t="inlineStr">
        <is>
          <t>PR</t>
        </is>
      </c>
      <c r="B33" s="4" t="inlineStr">
        <is>
          <t>PR #383</t>
        </is>
      </c>
      <c r="C33" s="4" t="inlineStr">
        <is>
          <t>superbolt08</t>
        </is>
      </c>
      <c r="D33" s="4" t="inlineStr">
        <is>
          <t>May 25-31, 2026</t>
        </is>
      </c>
      <c r="E33" s="4" t="inlineStr">
        <is>
          <t>PR closes multiple issues</t>
        </is>
      </c>
      <c r="F33" s="4" t="inlineStr">
        <is>
          <t>Closes issues: #359, #419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Scope</t>
        </is>
      </c>
      <c r="B2" s="2" t="inlineStr">
        <is>
          <t>May 18-24 and May 25-31 issue implementation hours plus linked closing-PR analytics.</t>
        </is>
      </c>
    </row>
    <row r="3">
      <c r="A3" s="2" t="inlineStr">
        <is>
          <t>Implementation hours</t>
        </is>
      </c>
      <c r="B3" s="2" t="inlineStr">
        <is>
          <t>Self-reported issue-body hours from the previous workbook; PR analytics times are NOT added to implementation-hour totals.</t>
        </is>
      </c>
    </row>
    <row r="4">
      <c r="A4" s="2" t="inlineStr">
        <is>
          <t>Verified implementation hours</t>
        </is>
      </c>
      <c r="B4" s="2" t="inlineStr">
        <is>
          <t>Issue-hour row has at least one strict closing PR found through GitHub closing references or closes/fixes/resolves body text.</t>
        </is>
      </c>
    </row>
    <row r="5">
      <c r="A5" s="2" t="inlineStr">
        <is>
          <t>Unverified implementation hours</t>
        </is>
      </c>
      <c r="B5" s="2" t="inlineStr">
        <is>
          <t>Issue-hour row has usable hours but no strict closing PR found.</t>
        </is>
      </c>
    </row>
    <row r="6">
      <c r="A6" s="2" t="inlineStr">
        <is>
          <t>PR metrics requested</t>
        </is>
      </c>
      <c r="B6" s="2" t="inlineStr">
        <is>
          <t>Time to first review, time to approval, comments, changes requested, PR cycle time.</t>
        </is>
      </c>
    </row>
    <row r="7">
      <c r="A7" s="2" t="inlineStr">
        <is>
          <t>PR cycle time</t>
        </is>
      </c>
      <c r="B7" s="2" t="inlineStr">
        <is>
          <t>Computed from PR createdAt to mergedAt, or closedAt when not merged.</t>
        </is>
      </c>
    </row>
    <row r="8">
      <c r="A8" s="2" t="inlineStr">
        <is>
          <t>Artifact usage</t>
        </is>
      </c>
      <c r="B8" s="2" t="inlineStr">
        <is>
          <t>Downloaded PR analytics JSON from GitHub Actions run 26433685412 where available; artifact per-PR timeToReview/timeToApprove values are converted from minutes to hours. Missing metrics are computed from GitHub CLI data.</t>
        </is>
      </c>
    </row>
    <row r="9">
      <c r="A9" s="2" t="inlineStr">
        <is>
          <t>Manual review flags</t>
        </is>
      </c>
      <c r="B9" s="2" t="inlineStr">
        <is>
          <t>PR closes multiple issues, or issue has implementation hours but no strict closing PR.</t>
        </is>
      </c>
    </row>
    <row r="10">
      <c r="A10" s="2" t="inlineStr">
        <is>
          <t>Editability</t>
        </is>
      </c>
      <c r="B10" s="2" t="inlineStr">
        <is>
          <t>Developer Summary uses Excel formulas over the Analytics Detail table. If you edit Analytics Detail values, summaries recalculate in Excel/Numbers.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2026-06-02T16:47:58Z</dcterms:created>
  <dcterms:modified xmlns:dcterms="http://purl.org/dc/terms/" xmlns:xsi="http://www.w3.org/2001/XMLSchema-instance" xsi:type="dcterms:W3CDTF">2026-06-02T16:47:58Z</dcterms:modified>
</cp:coreProperties>
</file>